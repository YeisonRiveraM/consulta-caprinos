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ECCE687-E6FA-4ED5-A521-A91D543AC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UANA" sheetId="34" r:id="rId1"/>
  </sheets>
  <definedNames>
    <definedName name="_xlnm._FilterDatabase" localSheetId="0" hidden="1">JUANA!$D$18:$J$158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7" roundtripDataChecksum="qS8RQyX6UsSOqDQhVPxAEwWwwT1tLNKZn4Kh/2inyA8="/>
    </ext>
  </extLst>
</workbook>
</file>

<file path=xl/calcChain.xml><?xml version="1.0" encoding="utf-8"?>
<calcChain xmlns="http://schemas.openxmlformats.org/spreadsheetml/2006/main">
  <c r="V23" i="34" l="1" a="1"/>
  <c r="V23" i="34" s="1"/>
  <c r="V24" i="34" a="1"/>
  <c r="V24" i="34"/>
  <c r="V25" i="34" a="1"/>
  <c r="V25" i="34" s="1"/>
  <c r="V26" i="34" a="1"/>
  <c r="V26" i="34" s="1"/>
  <c r="V27" i="34" a="1"/>
  <c r="V27" i="34" s="1"/>
  <c r="V28" i="34" a="1"/>
  <c r="V28" i="34" s="1"/>
  <c r="V29" i="34" a="1"/>
  <c r="V29" i="34" s="1"/>
  <c r="V30" i="34" a="1"/>
  <c r="V30" i="34"/>
  <c r="V31" i="34" a="1"/>
  <c r="V31" i="34" s="1"/>
  <c r="V32" i="34" a="1"/>
  <c r="V32" i="34" s="1"/>
  <c r="V33" i="34" a="1"/>
  <c r="V33" i="34" s="1"/>
  <c r="V34" i="34" a="1"/>
  <c r="V34" i="34" s="1"/>
  <c r="V35" i="34" a="1"/>
  <c r="V35" i="34" s="1"/>
  <c r="V36" i="34" a="1"/>
  <c r="V36" i="34" s="1"/>
  <c r="V37" i="34" a="1"/>
  <c r="V37" i="34" s="1"/>
  <c r="V38" i="34" a="1"/>
  <c r="V38" i="34" s="1"/>
  <c r="V39" i="34" a="1"/>
  <c r="V39" i="34" s="1"/>
  <c r="V40" i="34" a="1"/>
  <c r="V40" i="34" s="1"/>
  <c r="V41" i="34" a="1"/>
  <c r="V41" i="34" s="1"/>
  <c r="V42" i="34" a="1"/>
  <c r="V42" i="34"/>
  <c r="V43" i="34" a="1"/>
  <c r="V43" i="34" s="1"/>
  <c r="V44" i="34" a="1"/>
  <c r="V44" i="34" s="1"/>
  <c r="V45" i="34" a="1"/>
  <c r="V45" i="34" s="1"/>
  <c r="V46" i="34" a="1"/>
  <c r="V46" i="34" s="1"/>
  <c r="V47" i="34" a="1"/>
  <c r="V47" i="34" s="1"/>
  <c r="V22" i="34" a="1"/>
  <c r="V22" i="34" s="1"/>
  <c r="U23" i="34" a="1"/>
  <c r="U23" i="34" s="1"/>
  <c r="U24" i="34" a="1"/>
  <c r="U24" i="34" s="1"/>
  <c r="U25" i="34" a="1"/>
  <c r="U25" i="34" s="1"/>
  <c r="U26" i="34" a="1"/>
  <c r="U26" i="34" s="1"/>
  <c r="U27" i="34" a="1"/>
  <c r="U27" i="34" s="1"/>
  <c r="U28" i="34" a="1"/>
  <c r="U28" i="34" s="1"/>
  <c r="U29" i="34" a="1"/>
  <c r="U29" i="34" s="1"/>
  <c r="U30" i="34" a="1"/>
  <c r="U30" i="34" s="1"/>
  <c r="U31" i="34" a="1"/>
  <c r="U31" i="34" s="1"/>
  <c r="U32" i="34" a="1"/>
  <c r="U32" i="34" s="1"/>
  <c r="U33" i="34" a="1"/>
  <c r="U33" i="34" s="1"/>
  <c r="U34" i="34" a="1"/>
  <c r="U34" i="34" s="1"/>
  <c r="U35" i="34" a="1"/>
  <c r="U35" i="34" s="1"/>
  <c r="U36" i="34" a="1"/>
  <c r="U36" i="34" s="1"/>
  <c r="U37" i="34" a="1"/>
  <c r="U37" i="34" s="1"/>
  <c r="U38" i="34" a="1"/>
  <c r="U38" i="34" s="1"/>
  <c r="U39" i="34" a="1"/>
  <c r="U39" i="34" s="1"/>
  <c r="U40" i="34" a="1"/>
  <c r="U40" i="34" s="1"/>
  <c r="U41" i="34" a="1"/>
  <c r="U41" i="34" s="1"/>
  <c r="U42" i="34" a="1"/>
  <c r="U42" i="34" s="1"/>
  <c r="U43" i="34" a="1"/>
  <c r="U43" i="34" s="1"/>
  <c r="U44" i="34" a="1"/>
  <c r="U44" i="34"/>
  <c r="U45" i="34" a="1"/>
  <c r="U45" i="34" s="1"/>
  <c r="U46" i="34" a="1"/>
  <c r="U46" i="34" s="1"/>
  <c r="U47" i="34" a="1"/>
  <c r="U47" i="34" s="1"/>
  <c r="U22" i="34" a="1"/>
  <c r="U22" i="34" s="1"/>
  <c r="P22" i="34"/>
  <c r="O22" i="34"/>
  <c r="N22" i="34"/>
  <c r="M22" i="34"/>
  <c r="L22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19" i="34"/>
  <c r="D4" i="34"/>
  <c r="D1" i="34"/>
  <c r="G25" i="34" l="1"/>
  <c r="G52" i="34"/>
  <c r="G44" i="34"/>
  <c r="G36" i="34"/>
  <c r="G28" i="34"/>
  <c r="G24" i="34"/>
  <c r="G56" i="34"/>
  <c r="G48" i="34"/>
  <c r="G40" i="34"/>
  <c r="G32" i="34"/>
  <c r="G20" i="34"/>
  <c r="G19" i="34"/>
  <c r="G55" i="34"/>
  <c r="G51" i="34"/>
  <c r="G47" i="34"/>
  <c r="G43" i="34"/>
  <c r="G39" i="34"/>
  <c r="G35" i="34"/>
  <c r="G31" i="34"/>
  <c r="G27" i="34"/>
  <c r="G23" i="34"/>
  <c r="G54" i="34"/>
  <c r="G50" i="34"/>
  <c r="G46" i="34"/>
  <c r="G42" i="34"/>
  <c r="G38" i="34"/>
  <c r="G34" i="34"/>
  <c r="G30" i="34"/>
  <c r="G26" i="34"/>
  <c r="G22" i="34"/>
  <c r="G53" i="34"/>
  <c r="G49" i="34"/>
  <c r="G45" i="34"/>
  <c r="G41" i="34"/>
  <c r="G37" i="34"/>
  <c r="G33" i="34"/>
  <c r="G29" i="34"/>
  <c r="G21" i="34"/>
  <c r="J54" i="34" l="1"/>
  <c r="J45" i="34"/>
  <c r="J43" i="34"/>
  <c r="J53" i="34"/>
  <c r="J55" i="34"/>
  <c r="J31" i="34"/>
  <c r="J33" i="34"/>
  <c r="J30" i="34"/>
  <c r="J42" i="34"/>
  <c r="J50" i="34"/>
  <c r="J44" i="34"/>
  <c r="J56" i="34"/>
  <c r="J47" i="34"/>
  <c r="J39" i="34"/>
  <c r="J34" i="34"/>
  <c r="J32" i="34"/>
  <c r="J29" i="34"/>
  <c r="J37" i="34"/>
  <c r="J40" i="34"/>
  <c r="J46" i="34"/>
  <c r="J41" i="34"/>
  <c r="J52" i="34"/>
  <c r="J51" i="34"/>
  <c r="J49" i="34"/>
  <c r="J48" i="34"/>
  <c r="J38" i="34"/>
  <c r="J35" i="34"/>
  <c r="J36" i="34"/>
  <c r="J22" i="34" l="1"/>
  <c r="J21" i="34"/>
  <c r="J28" i="34"/>
  <c r="J24" i="34"/>
  <c r="J20" i="34"/>
  <c r="J26" i="34"/>
  <c r="J25" i="34"/>
  <c r="J27" i="34"/>
  <c r="J23" i="34"/>
  <c r="J19" i="3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<sst xmlns="http://schemas.openxmlformats.org/spreadsheetml/2006/main" count="31" uniqueCount="28">
  <si>
    <t>NOMBRE</t>
  </si>
  <si>
    <t>N° IDENTIFICACIÓN</t>
  </si>
  <si>
    <t>RAZA</t>
  </si>
  <si>
    <t>FECHA NACIMIENTO</t>
  </si>
  <si>
    <t>PROCEDENCIA</t>
  </si>
  <si>
    <t>PADRE</t>
  </si>
  <si>
    <t>MADRE</t>
  </si>
  <si>
    <t>DESCONOCIDO</t>
  </si>
  <si>
    <t>FINALIDAD</t>
  </si>
  <si>
    <t>PROPOSITO LECHERO</t>
  </si>
  <si>
    <t>EDAD</t>
  </si>
  <si>
    <t>ANÁLISIS DE LACTANCIA - PERIODO 26 SEMANAS</t>
  </si>
  <si>
    <t>FECHA INICIO</t>
  </si>
  <si>
    <t>FECHA CORTE</t>
  </si>
  <si>
    <t xml:space="preserve">PICO LECHE </t>
  </si>
  <si>
    <t>MIN LECHE</t>
  </si>
  <si>
    <t>PRODUCCIÓN PROMEDIO</t>
  </si>
  <si>
    <t>Fecha</t>
  </si>
  <si>
    <t>Cantidad litros AM</t>
  </si>
  <si>
    <t>Cantidad litros PM</t>
  </si>
  <si>
    <t>Promedio</t>
  </si>
  <si>
    <t>Mes</t>
  </si>
  <si>
    <t>Año</t>
  </si>
  <si>
    <t>Semestre</t>
  </si>
  <si>
    <t>ADELA</t>
  </si>
  <si>
    <t>68A</t>
  </si>
  <si>
    <t xml:space="preserve">DONACION </t>
  </si>
  <si>
    <t>2024-1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</si>
</sst>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D9CA"/>
        <bgColor rgb="FFE8D9CA"/>
      </patternFill>
    </fill>
    <fill>
      <patternFill patternType="solid">
        <fgColor rgb="FF8EAADB"/>
        <bgColor rgb="FF8EAADB"/>
      </patternFill>
    </fill>
    <fill>
      <patternFill patternType="solid">
        <fgColor rgb="FFD7C4F4"/>
        <bgColor rgb="FFD7C4F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9" xfId="0" applyFont="1" applyFill="1" applyBorder="1"/>
    <xf numFmtId="0" fontId="4" fillId="0" borderId="9" xfId="0" applyFont="1" applyBorder="1"/>
    <xf numFmtId="14" fontId="4" fillId="0" borderId="9" xfId="0" applyNumberFormat="1" applyFont="1" applyBorder="1"/>
    <xf numFmtId="14" fontId="0" fillId="0" borderId="0" xfId="0" applyNumberFormat="1"/>
    <xf numFmtId="2" fontId="0" fillId="0" borderId="0" xfId="0" applyNumberFormat="1"/>
    <xf numFmtId="2" fontId="4" fillId="0" borderId="9" xfId="0" applyNumberFormat="1" applyFont="1" applyBorder="1"/>
    <xf numFmtId="0" fontId="1" fillId="0" borderId="0" xfId="0" applyFont="1"/>
    <xf numFmtId="0" fontId="3" fillId="0" borderId="6" xfId="0" applyFont="1" applyBorder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3" borderId="7" xfId="0" applyFont="1" applyFill="1" applyBorder="1" applyAlignment="1">
      <alignment horizontal="center"/>
    </xf>
    <xf numFmtId="0" fontId="3" fillId="0" borderId="8" xfId="0" applyFont="1" applyBorder="1"/>
    <xf numFmtId="0" fontId="4" fillId="3" borderId="10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alignment horizontal="right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styles" Target="styles.xml"/><Relationship Id="rId42" Type="http://schemas.openxmlformats.org/officeDocument/2006/relationships/calcChain" Target="calcChain.xml"/><Relationship Id="rId38" Type="http://schemas.openxmlformats.org/officeDocument/2006/relationships/theme" Target="theme/theme1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37" Type="http://customschemas.google.com/relationships/workbookmetadata" Target="metadata"/><Relationship Id="rId4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Producción</a:t>
            </a:r>
            <a:r>
              <a:rPr lang="es-CO" baseline="0"/>
              <a:t> leche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Semana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JUANA!$U$22:$U$47</c:f>
              <c:numCache>
                <c:formatCode>General</c:formatCode>
                <c:ptCount val="26"/>
                <c:pt idx="0">
                  <c:v>0.87250000000000005</c:v>
                </c:pt>
                <c:pt idx="1">
                  <c:v>0.95</c:v>
                </c:pt>
                <c:pt idx="2">
                  <c:v>1.1525000000000001</c:v>
                </c:pt>
                <c:pt idx="3">
                  <c:v>1.2775000000000001</c:v>
                </c:pt>
                <c:pt idx="4">
                  <c:v>0.52</c:v>
                </c:pt>
                <c:pt idx="5">
                  <c:v>1.1299999999999999</c:v>
                </c:pt>
                <c:pt idx="6">
                  <c:v>1.006</c:v>
                </c:pt>
                <c:pt idx="7">
                  <c:v>0.84000000000000008</c:v>
                </c:pt>
                <c:pt idx="8">
                  <c:v>0.87749999999999995</c:v>
                </c:pt>
                <c:pt idx="9">
                  <c:v>0.74749999999999994</c:v>
                </c:pt>
                <c:pt idx="10">
                  <c:v>1.0900000000000001</c:v>
                </c:pt>
                <c:pt idx="11">
                  <c:v>1.0649999999999999</c:v>
                </c:pt>
                <c:pt idx="12">
                  <c:v>0.93500000000000005</c:v>
                </c:pt>
                <c:pt idx="13">
                  <c:v>0.71499999999999997</c:v>
                </c:pt>
                <c:pt idx="14">
                  <c:v>0.57499999999999996</c:v>
                </c:pt>
                <c:pt idx="15">
                  <c:v>0.74</c:v>
                </c:pt>
                <c:pt idx="16">
                  <c:v>0.6</c:v>
                </c:pt>
                <c:pt idx="17">
                  <c:v>0.52</c:v>
                </c:pt>
                <c:pt idx="18">
                  <c:v>0.52500000000000002</c:v>
                </c:pt>
                <c:pt idx="19">
                  <c:v>0.42</c:v>
                </c:pt>
                <c:pt idx="20">
                  <c:v>0.59499999999999997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FE-4DD9-BA40-561FDF966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734920"/>
        <c:axId val="654735640"/>
      </c:lineChart>
      <c:catAx>
        <c:axId val="65473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735640"/>
        <c:crosses val="autoZero"/>
        <c:auto val="1"/>
        <c:lblAlgn val="ctr"/>
        <c:lblOffset val="100"/>
        <c:noMultiLvlLbl val="0"/>
      </c:catAx>
      <c:valAx>
        <c:axId val="65473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4734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304800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ED1D89B-5E49-4670-A7D7-2D247817B9F5}"/>
            </a:ext>
          </a:extLst>
        </xdr:cNvPr>
        <xdr:cNvSpPr/>
      </xdr:nvSpPr>
      <xdr:spPr>
        <a:xfrm>
          <a:off x="6027420" y="2385060"/>
          <a:ext cx="3048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123825</xdr:rowOff>
    </xdr:from>
    <xdr:ext cx="2438400" cy="2609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8737C276-E27C-4792-B881-698760E6468C}"/>
            </a:ext>
          </a:extLst>
        </xdr:cNvPr>
        <xdr:cNvSpPr/>
      </xdr:nvSpPr>
      <xdr:spPr>
        <a:xfrm>
          <a:off x="0" y="831396"/>
          <a:ext cx="2438400" cy="2609850"/>
        </a:xfrm>
        <a:prstGeom prst="rect">
          <a:avLst/>
        </a:prstGeom>
        <a:blipFill rotWithShape="1">
          <a:blip xmlns:r="http://schemas.openxmlformats.org/officeDocument/2006/relationships" r:embed="rId1">
            <a:alphaModFix/>
          </a:blip>
          <a:stretch>
            <a:fillRect/>
          </a:stretch>
        </a:blip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twoCellAnchor>
    <xdr:from>
      <xdr:col>11</xdr:col>
      <xdr:colOff>16566</xdr:colOff>
      <xdr:row>24</xdr:row>
      <xdr:rowOff>177248</xdr:rowOff>
    </xdr:from>
    <xdr:to>
      <xdr:col>15</xdr:col>
      <xdr:colOff>1399761</xdr:colOff>
      <xdr:row>40</xdr:row>
      <xdr:rowOff>4969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0C9BE36-8A8E-41FF-5E89-C55B5DBC4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134722</xdr:colOff>
      <xdr:row>0</xdr:row>
      <xdr:rowOff>0</xdr:rowOff>
    </xdr:from>
    <xdr:to>
      <xdr:col>2</xdr:col>
      <xdr:colOff>585107</xdr:colOff>
      <xdr:row>4</xdr:row>
      <xdr:rowOff>163809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995BA54-68DB-03CB-6919-6CE36A3CB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22" y="0"/>
          <a:ext cx="2028814" cy="871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22FA38-A5BE-4E61-8DA7-AE1901F248CA}" name="Datos" displayName="Datos" ref="D18:J158" totalsRowShown="0">
  <autoFilter ref="D18:J158" xr:uid="{3A22FA38-A5BE-4E61-8DA7-AE1901F248CA}"/>
  <tableColumns count="7">
    <tableColumn id="1" xr3:uid="{DA2A3DBE-2714-40A7-8F81-622B58EEF3F5}" name="Fecha" dataDxfId="4"/>
    <tableColumn id="2" xr3:uid="{5436E837-944B-492E-AE7D-2D7CFD10E735}" name="Mes">
      <calculatedColumnFormula>MONTH(D19)</calculatedColumnFormula>
    </tableColumn>
    <tableColumn id="3" xr3:uid="{E7374CFF-66D6-4613-BFCA-99E38E1D3743}" name="Año">
      <calculatedColumnFormula>YEAR(D19)</calculatedColumnFormula>
    </tableColumn>
    <tableColumn id="4" xr3:uid="{AAE5D06E-A57E-4966-8462-FFCE8BA1AC0A}" name="Semestre" dataDxfId="3">
      <calculatedColumnFormula>IF(E19&lt;=6,F19&amp;"-1",F19&amp;"-2")</calculatedColumnFormula>
    </tableColumn>
    <tableColumn id="5" xr3:uid="{0C434CF2-2622-477F-B2F7-54FD9815D2D5}" name="Cantidad litros AM" dataDxfId="2"/>
    <tableColumn id="6" xr3:uid="{8A815C18-EAA0-4C4B-AECB-89B14CA3916E}" name="Cantidad litros PM" dataDxfId="1"/>
    <tableColumn id="7" xr3:uid="{0BD41469-7227-4228-806A-4B7CAD9D0291}" name="Promedio" dataDxfId="0">
      <calculatedColumnFormula>AVERAGE(Datos[[#This Row],[Cantidad litros AM]],Datos[[#This Row],[Cantidad litros PM]])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F8FE-1DE8-4F05-9A11-E75CA7A327D6}">
  <dimension ref="D1:V158"/>
  <sheetViews>
    <sheetView showGridLines="0" tabSelected="1" zoomScale="79" workbookViewId="0">
      <selection activeCell="M18" sqref="M18"/>
    </sheetView>
  </sheetViews>
  <sheetFormatPr baseColWidth="10" defaultRowHeight="14.4" x14ac:dyDescent="0.3"/>
  <cols>
    <col min="4" max="4" width="20.33203125" bestFit="1" customWidth="1"/>
    <col min="5" max="5" width="23.109375" bestFit="1" customWidth="1"/>
    <col min="6" max="6" width="9.88671875" bestFit="1" customWidth="1"/>
    <col min="7" max="7" width="16" style="10" bestFit="1" customWidth="1"/>
    <col min="8" max="9" width="25.6640625" bestFit="1" customWidth="1"/>
    <col min="10" max="10" width="16" bestFit="1" customWidth="1"/>
    <col min="11" max="12" width="16" customWidth="1"/>
    <col min="14" max="14" width="13.6640625" bestFit="1" customWidth="1"/>
    <col min="15" max="15" width="15" bestFit="1" customWidth="1"/>
    <col min="16" max="16" width="23" bestFit="1" customWidth="1"/>
    <col min="17" max="17" width="11.44140625" bestFit="1" customWidth="1"/>
    <col min="18" max="18" width="25.88671875" bestFit="1" customWidth="1"/>
    <col min="19" max="19" width="22.33203125" bestFit="1" customWidth="1"/>
  </cols>
  <sheetData>
    <row r="1" spans="4:12" x14ac:dyDescent="0.3">
      <c r="D1" s="12" t="str">
        <f>"PRODUCCIÓN LACTEA - " &amp; E5</f>
        <v>PRODUCCIÓN LACTEA - ADELA</v>
      </c>
      <c r="E1" s="13"/>
      <c r="F1" s="13"/>
      <c r="G1" s="13"/>
      <c r="H1" s="13"/>
      <c r="I1" s="13"/>
      <c r="J1" s="14"/>
      <c r="K1" s="8"/>
      <c r="L1" s="8"/>
    </row>
    <row r="2" spans="4:12" x14ac:dyDescent="0.3">
      <c r="D2" s="15"/>
      <c r="E2" s="16"/>
      <c r="F2" s="16"/>
      <c r="G2" s="16"/>
      <c r="H2" s="16"/>
      <c r="I2" s="16"/>
      <c r="J2" s="17"/>
      <c r="K2" s="8"/>
      <c r="L2" s="8"/>
    </row>
    <row r="4" spans="4:12" x14ac:dyDescent="0.3">
      <c r="D4" s="18" t="str">
        <f>"DATOS GENERALES DE " &amp;E5</f>
        <v>DATOS GENERALES DE ADELA</v>
      </c>
      <c r="E4" s="19"/>
    </row>
    <row r="5" spans="4:12" x14ac:dyDescent="0.3">
      <c r="D5" s="1" t="s">
        <v>0</v>
      </c>
      <c r="E5" s="2" t="s">
        <v>24</v>
      </c>
    </row>
    <row r="6" spans="4:12" x14ac:dyDescent="0.3">
      <c r="D6" s="1" t="s">
        <v>1</v>
      </c>
      <c r="E6" s="2" t="s">
        <v>25</v>
      </c>
    </row>
    <row r="7" spans="4:12" x14ac:dyDescent="0.3">
      <c r="D7" s="1" t="s">
        <v>2</v>
      </c>
      <c r="E7" s="2"/>
    </row>
    <row r="8" spans="4:12" x14ac:dyDescent="0.3">
      <c r="D8" s="1" t="s">
        <v>4</v>
      </c>
      <c r="E8" s="2" t="s">
        <v>26</v>
      </c>
    </row>
    <row r="9" spans="4:12" x14ac:dyDescent="0.3">
      <c r="D9" s="1" t="s">
        <v>3</v>
      </c>
      <c r="E9" s="2" t="s">
        <v>7</v>
      </c>
    </row>
    <row r="10" spans="4:12" x14ac:dyDescent="0.3">
      <c r="D10" s="1" t="s">
        <v>5</v>
      </c>
      <c r="E10" s="2" t="s">
        <v>7</v>
      </c>
    </row>
    <row r="11" spans="4:12" x14ac:dyDescent="0.3">
      <c r="D11" s="1" t="s">
        <v>6</v>
      </c>
      <c r="E11" s="2" t="s">
        <v>7</v>
      </c>
    </row>
    <row r="12" spans="4:12" x14ac:dyDescent="0.3">
      <c r="D12" s="1" t="s">
        <v>8</v>
      </c>
      <c r="E12" s="2" t="s">
        <v>9</v>
      </c>
    </row>
    <row r="13" spans="4:12" x14ac:dyDescent="0.3">
      <c r="D13" s="1" t="s">
        <v>10</v>
      </c>
      <c r="E13" s="2"/>
    </row>
    <row r="18" spans="4:22" x14ac:dyDescent="0.3">
      <c r="D18" t="s">
        <v>17</v>
      </c>
      <c r="E18" t="s">
        <v>21</v>
      </c>
      <c r="F18" t="s">
        <v>22</v>
      </c>
      <c r="G18" s="11" t="s">
        <v>23</v>
      </c>
      <c r="H18" t="s">
        <v>18</v>
      </c>
      <c r="I18" t="s">
        <v>19</v>
      </c>
      <c r="J18" t="s">
        <v>20</v>
      </c>
      <c r="L18" s="7" t="s">
        <v>23</v>
      </c>
      <c r="M18" t="s">
        <v>27</v>
      </c>
    </row>
    <row r="19" spans="4:22" x14ac:dyDescent="0.3">
      <c r="D19" s="4">
        <v>45315</v>
      </c>
      <c r="E19">
        <f>MONTH(D19)</f>
        <v>1</v>
      </c>
      <c r="F19">
        <f>YEAR(D19)</f>
        <v>2024</v>
      </c>
      <c r="G19" s="10" t="str">
        <f>IF(E19&lt;=6,F19&amp;"-1",F19&amp;"-2")</f>
        <v>2024-1</v>
      </c>
      <c r="H19" s="5">
        <v>1.2</v>
      </c>
      <c r="I19" s="5">
        <v>0.54500000000000004</v>
      </c>
      <c r="J19" s="9">
        <f>AVERAGE(Datos[[#This Row],[Cantidad litros AM]],Datos[[#This Row],[Cantidad litros PM]])</f>
        <v>0.87250000000000005</v>
      </c>
      <c r="K19" s="5"/>
    </row>
    <row r="20" spans="4:22" x14ac:dyDescent="0.3">
      <c r="D20" s="4">
        <v>45322</v>
      </c>
      <c r="E20">
        <f t="shared" ref="E20:E56" si="0">MONTH(D20)</f>
        <v>1</v>
      </c>
      <c r="F20">
        <f t="shared" ref="F20:F56" si="1">YEAR(D20)</f>
        <v>2024</v>
      </c>
      <c r="G20" s="10" t="str">
        <f t="shared" ref="G20:G56" si="2">IF(E20&lt;=6,F20&amp;"-1",F20&amp;"-2")</f>
        <v>2024-1</v>
      </c>
      <c r="H20" s="5">
        <v>1.23</v>
      </c>
      <c r="I20" s="5">
        <v>0.67</v>
      </c>
      <c r="J20" s="9">
        <f>AVERAGE(Datos[[#This Row],[Cantidad litros AM]],Datos[[#This Row],[Cantidad litros PM]])</f>
        <v>0.95</v>
      </c>
      <c r="K20" s="5"/>
      <c r="L20" s="18" t="s">
        <v>11</v>
      </c>
      <c r="M20" s="20"/>
      <c r="N20" s="20"/>
      <c r="O20" s="20"/>
      <c r="P20" s="21"/>
    </row>
    <row r="21" spans="4:22" x14ac:dyDescent="0.3">
      <c r="D21" s="4">
        <v>45329</v>
      </c>
      <c r="E21">
        <f t="shared" si="0"/>
        <v>2</v>
      </c>
      <c r="F21">
        <f t="shared" si="1"/>
        <v>2024</v>
      </c>
      <c r="G21" s="10" t="str">
        <f t="shared" si="2"/>
        <v>2024-1</v>
      </c>
      <c r="H21" s="5">
        <v>1.415</v>
      </c>
      <c r="I21" s="5">
        <v>0.89</v>
      </c>
      <c r="J21" s="9">
        <f>AVERAGE(Datos[[#This Row],[Cantidad litros AM]],Datos[[#This Row],[Cantidad litros PM]])</f>
        <v>1.1525000000000001</v>
      </c>
      <c r="K21" s="5"/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</row>
    <row r="22" spans="4:22" x14ac:dyDescent="0.3">
      <c r="D22" s="4">
        <v>45336</v>
      </c>
      <c r="E22">
        <f t="shared" si="0"/>
        <v>2</v>
      </c>
      <c r="F22">
        <f t="shared" si="1"/>
        <v>2024</v>
      </c>
      <c r="G22" s="10" t="str">
        <f t="shared" si="2"/>
        <v>2024-1</v>
      </c>
      <c r="H22" s="5">
        <v>1.6850000000000001</v>
      </c>
      <c r="I22" s="5">
        <v>0.87</v>
      </c>
      <c r="J22" s="9">
        <f>AVERAGE(Datos[[#This Row],[Cantidad litros AM]],Datos[[#This Row],[Cantidad litros PM]])</f>
        <v>1.2775000000000001</v>
      </c>
      <c r="K22" s="5"/>
      <c r="L22" s="3">
        <f>_xlfn.MINIFS(Datos[Fecha],Datos[Semestre],$M$18)</f>
        <v>45315</v>
      </c>
      <c r="M22" s="3">
        <f>_xlfn.MAXIFS(Datos[Fecha],Datos[Semestre],$M$18)</f>
        <v>45456</v>
      </c>
      <c r="N22" s="6">
        <f>_xlfn.MAXIFS(Datos[Promedio],Datos[Semestre],$M$18)</f>
        <v>1.2775000000000001</v>
      </c>
      <c r="O22" s="6">
        <f>_xlfn.MINIFS(Datos[Promedio],Datos[Semestre],$M$18)</f>
        <v>0.42</v>
      </c>
      <c r="P22" s="6">
        <f>AVERAGEIFS(Datos[Promedio],Datos[Semestre],$M$18)</f>
        <v>0.81683333333333341</v>
      </c>
      <c r="T22">
        <v>1</v>
      </c>
      <c r="U22" cm="1">
        <f t="array" ref="U22">IFERROR(INDEX(Datos[Promedio],_xlfn.AGGREGATE(15,6,(ROW(Datos[Promedio])-MIN(ROW(Datos[Promedio]))+1)/(Datos[Semestre]=$M$18),ROWS($A$1:A1))),"")</f>
        <v>0.87250000000000005</v>
      </c>
      <c r="V22" s="4" cm="1">
        <f t="array" ref="V22">IFERROR(INDEX(Datos[Fecha],_xlfn.AGGREGATE(15,6,(ROW(Datos[Fecha])-MIN(ROW(Datos[Fecha]))+1)/(Datos[Semestre]=$M$18),ROWS($A$1:A1))),"")</f>
        <v>45315</v>
      </c>
    </row>
    <row r="23" spans="4:22" x14ac:dyDescent="0.3">
      <c r="D23" s="4">
        <v>45341</v>
      </c>
      <c r="E23">
        <f t="shared" si="0"/>
        <v>2</v>
      </c>
      <c r="F23">
        <f t="shared" si="1"/>
        <v>2024</v>
      </c>
      <c r="G23" s="10" t="str">
        <f t="shared" si="2"/>
        <v>2024-1</v>
      </c>
      <c r="H23" s="5">
        <v>0.52</v>
      </c>
      <c r="I23" s="5"/>
      <c r="J23" s="9">
        <f>AVERAGE(Datos[[#This Row],[Cantidad litros AM]],Datos[[#This Row],[Cantidad litros PM]])</f>
        <v>0.52</v>
      </c>
      <c r="K23" s="5"/>
      <c r="T23">
        <v>2</v>
      </c>
      <c r="U23" cm="1">
        <f t="array" ref="U23">IFERROR(INDEX(Datos[Promedio],_xlfn.AGGREGATE(15,6,(ROW(Datos[Promedio])-MIN(ROW(Datos[Promedio]))+1)/(Datos[Semestre]=$M$18),ROWS($A$1:A2))),"")</f>
        <v>0.95</v>
      </c>
      <c r="V23" s="4" cm="1">
        <f t="array" ref="V23">IFERROR(INDEX(Datos[Fecha],_xlfn.AGGREGATE(15,6,(ROW(Datos[Fecha])-MIN(ROW(Datos[Fecha]))+1)/(Datos[Semestre]=$M$18),ROWS($A$1:A2))),"")</f>
        <v>45322</v>
      </c>
    </row>
    <row r="24" spans="4:22" x14ac:dyDescent="0.3">
      <c r="D24" s="4">
        <v>45344</v>
      </c>
      <c r="E24">
        <f t="shared" si="0"/>
        <v>2</v>
      </c>
      <c r="F24">
        <f t="shared" si="1"/>
        <v>2024</v>
      </c>
      <c r="G24" s="10" t="str">
        <f t="shared" si="2"/>
        <v>2024-1</v>
      </c>
      <c r="H24" s="5">
        <v>1.54</v>
      </c>
      <c r="I24" s="5">
        <v>0.72</v>
      </c>
      <c r="J24" s="9">
        <f>AVERAGE(Datos[[#This Row],[Cantidad litros AM]],Datos[[#This Row],[Cantidad litros PM]])</f>
        <v>1.1299999999999999</v>
      </c>
      <c r="K24" s="5"/>
      <c r="T24">
        <v>3</v>
      </c>
      <c r="U24" cm="1">
        <f t="array" ref="U24">IFERROR(INDEX(Datos[Promedio],_xlfn.AGGREGATE(15,6,(ROW(Datos[Promedio])-MIN(ROW(Datos[Promedio]))+1)/(Datos[Semestre]=$M$18),ROWS($A$1:A3))),"")</f>
        <v>1.1525000000000001</v>
      </c>
      <c r="V24" s="4" cm="1">
        <f t="array" ref="V24">IFERROR(INDEX(Datos[Fecha],_xlfn.AGGREGATE(15,6,(ROW(Datos[Fecha])-MIN(ROW(Datos[Fecha]))+1)/(Datos[Semestre]=$M$18),ROWS($A$1:A3))),"")</f>
        <v>45329</v>
      </c>
    </row>
    <row r="25" spans="4:22" x14ac:dyDescent="0.3">
      <c r="D25" s="4">
        <v>45351</v>
      </c>
      <c r="E25">
        <f t="shared" si="0"/>
        <v>2</v>
      </c>
      <c r="F25">
        <f t="shared" si="1"/>
        <v>2024</v>
      </c>
      <c r="G25" s="10" t="str">
        <f t="shared" si="2"/>
        <v>2024-1</v>
      </c>
      <c r="H25" s="5">
        <v>1.4319999999999999</v>
      </c>
      <c r="I25" s="5">
        <v>0.57999999999999996</v>
      </c>
      <c r="J25" s="9">
        <f>AVERAGE(Datos[[#This Row],[Cantidad litros AM]],Datos[[#This Row],[Cantidad litros PM]])</f>
        <v>1.006</v>
      </c>
      <c r="K25" s="5"/>
      <c r="T25">
        <v>4</v>
      </c>
      <c r="U25" cm="1">
        <f t="array" ref="U25">IFERROR(INDEX(Datos[Promedio],_xlfn.AGGREGATE(15,6,(ROW(Datos[Promedio])-MIN(ROW(Datos[Promedio]))+1)/(Datos[Semestre]=$M$18),ROWS($A$1:A4))),"")</f>
        <v>1.2775000000000001</v>
      </c>
      <c r="V25" s="4" cm="1">
        <f t="array" ref="V25">IFERROR(INDEX(Datos[Fecha],_xlfn.AGGREGATE(15,6,(ROW(Datos[Fecha])-MIN(ROW(Datos[Fecha]))+1)/(Datos[Semestre]=$M$18),ROWS($A$1:A4))),"")</f>
        <v>45336</v>
      </c>
    </row>
    <row r="26" spans="4:22" x14ac:dyDescent="0.3">
      <c r="D26" s="4">
        <v>45358</v>
      </c>
      <c r="E26">
        <f t="shared" si="0"/>
        <v>3</v>
      </c>
      <c r="F26">
        <f t="shared" si="1"/>
        <v>2024</v>
      </c>
      <c r="G26" s="10" t="str">
        <f t="shared" si="2"/>
        <v>2024-1</v>
      </c>
      <c r="H26" s="5">
        <v>1.155</v>
      </c>
      <c r="I26" s="5">
        <v>0.52500000000000002</v>
      </c>
      <c r="J26" s="9">
        <f>AVERAGE(Datos[[#This Row],[Cantidad litros AM]],Datos[[#This Row],[Cantidad litros PM]])</f>
        <v>0.84000000000000008</v>
      </c>
      <c r="K26" s="5"/>
      <c r="T26">
        <v>5</v>
      </c>
      <c r="U26" cm="1">
        <f t="array" ref="U26">IFERROR(INDEX(Datos[Promedio],_xlfn.AGGREGATE(15,6,(ROW(Datos[Promedio])-MIN(ROW(Datos[Promedio]))+1)/(Datos[Semestre]=$M$18),ROWS($A$1:A5))),"")</f>
        <v>0.52</v>
      </c>
      <c r="V26" s="4" cm="1">
        <f t="array" ref="V26">IFERROR(INDEX(Datos[Fecha],_xlfn.AGGREGATE(15,6,(ROW(Datos[Fecha])-MIN(ROW(Datos[Fecha]))+1)/(Datos[Semestre]=$M$18),ROWS($A$1:A5))),"")</f>
        <v>45341</v>
      </c>
    </row>
    <row r="27" spans="4:22" x14ac:dyDescent="0.3">
      <c r="D27" s="4">
        <v>45372</v>
      </c>
      <c r="E27">
        <f t="shared" si="0"/>
        <v>3</v>
      </c>
      <c r="F27">
        <f t="shared" si="1"/>
        <v>2024</v>
      </c>
      <c r="G27" s="10" t="str">
        <f t="shared" si="2"/>
        <v>2024-1</v>
      </c>
      <c r="H27" s="5">
        <v>1.2549999999999999</v>
      </c>
      <c r="I27" s="5">
        <v>0.5</v>
      </c>
      <c r="J27" s="9">
        <f>AVERAGE(Datos[[#This Row],[Cantidad litros AM]],Datos[[#This Row],[Cantidad litros PM]])</f>
        <v>0.87749999999999995</v>
      </c>
      <c r="K27" s="5"/>
      <c r="T27">
        <v>6</v>
      </c>
      <c r="U27" cm="1">
        <f t="array" ref="U27">IFERROR(INDEX(Datos[Promedio],_xlfn.AGGREGATE(15,6,(ROW(Datos[Promedio])-MIN(ROW(Datos[Promedio]))+1)/(Datos[Semestre]=$M$18),ROWS($A$1:A6))),"")</f>
        <v>1.1299999999999999</v>
      </c>
      <c r="V27" s="4" cm="1">
        <f t="array" ref="V27">IFERROR(INDEX(Datos[Fecha],_xlfn.AGGREGATE(15,6,(ROW(Datos[Fecha])-MIN(ROW(Datos[Fecha]))+1)/(Datos[Semestre]=$M$18),ROWS($A$1:A6))),"")</f>
        <v>45344</v>
      </c>
    </row>
    <row r="28" spans="4:22" x14ac:dyDescent="0.3">
      <c r="D28" s="4">
        <v>45379</v>
      </c>
      <c r="E28">
        <f t="shared" si="0"/>
        <v>3</v>
      </c>
      <c r="F28">
        <f t="shared" si="1"/>
        <v>2024</v>
      </c>
      <c r="G28" s="10" t="str">
        <f t="shared" si="2"/>
        <v>2024-1</v>
      </c>
      <c r="H28" s="5">
        <v>1.2649999999999999</v>
      </c>
      <c r="I28" s="5">
        <v>0.23</v>
      </c>
      <c r="J28" s="9">
        <f>AVERAGE(Datos[[#This Row],[Cantidad litros AM]],Datos[[#This Row],[Cantidad litros PM]])</f>
        <v>0.74749999999999994</v>
      </c>
      <c r="K28" s="5"/>
      <c r="T28">
        <v>7</v>
      </c>
      <c r="U28" cm="1">
        <f t="array" ref="U28">IFERROR(INDEX(Datos[Promedio],_xlfn.AGGREGATE(15,6,(ROW(Datos[Promedio])-MIN(ROW(Datos[Promedio]))+1)/(Datos[Semestre]=$M$18),ROWS($A$1:A7))),"")</f>
        <v>1.006</v>
      </c>
      <c r="V28" s="4" cm="1">
        <f t="array" ref="V28">IFERROR(INDEX(Datos[Fecha],_xlfn.AGGREGATE(15,6,(ROW(Datos[Fecha])-MIN(ROW(Datos[Fecha]))+1)/(Datos[Semestre]=$M$18),ROWS($A$1:A7))),"")</f>
        <v>45351</v>
      </c>
    </row>
    <row r="29" spans="4:22" x14ac:dyDescent="0.3">
      <c r="D29" s="4">
        <v>45385</v>
      </c>
      <c r="E29">
        <f t="shared" si="0"/>
        <v>4</v>
      </c>
      <c r="F29">
        <f t="shared" si="1"/>
        <v>2024</v>
      </c>
      <c r="G29" s="10" t="str">
        <f t="shared" si="2"/>
        <v>2024-1</v>
      </c>
      <c r="H29" s="5">
        <v>1.0900000000000001</v>
      </c>
      <c r="I29" s="5"/>
      <c r="J29" s="9">
        <f>AVERAGE(Datos[[#This Row],[Cantidad litros AM]],Datos[[#This Row],[Cantidad litros PM]])</f>
        <v>1.0900000000000001</v>
      </c>
      <c r="K29" s="5"/>
      <c r="T29">
        <v>8</v>
      </c>
      <c r="U29" cm="1">
        <f t="array" ref="U29">IFERROR(INDEX(Datos[Promedio],_xlfn.AGGREGATE(15,6,(ROW(Datos[Promedio])-MIN(ROW(Datos[Promedio]))+1)/(Datos[Semestre]=$M$18),ROWS($A$1:A8))),"")</f>
        <v>0.84000000000000008</v>
      </c>
      <c r="V29" s="4" cm="1">
        <f t="array" ref="V29">IFERROR(INDEX(Datos[Fecha],_xlfn.AGGREGATE(15,6,(ROW(Datos[Fecha])-MIN(ROW(Datos[Fecha]))+1)/(Datos[Semestre]=$M$18),ROWS($A$1:A8))),"")</f>
        <v>45358</v>
      </c>
    </row>
    <row r="30" spans="4:22" x14ac:dyDescent="0.3">
      <c r="D30" s="4">
        <v>45392</v>
      </c>
      <c r="E30">
        <f t="shared" si="0"/>
        <v>4</v>
      </c>
      <c r="F30">
        <f t="shared" si="1"/>
        <v>2024</v>
      </c>
      <c r="G30" s="10" t="str">
        <f t="shared" si="2"/>
        <v>2024-1</v>
      </c>
      <c r="H30" s="5">
        <v>1.0649999999999999</v>
      </c>
      <c r="I30" s="5"/>
      <c r="J30" s="9">
        <f>AVERAGE(Datos[[#This Row],[Cantidad litros AM]],Datos[[#This Row],[Cantidad litros PM]])</f>
        <v>1.0649999999999999</v>
      </c>
      <c r="K30" s="5"/>
      <c r="T30">
        <v>9</v>
      </c>
      <c r="U30" cm="1">
        <f t="array" ref="U30">IFERROR(INDEX(Datos[Promedio],_xlfn.AGGREGATE(15,6,(ROW(Datos[Promedio])-MIN(ROW(Datos[Promedio]))+1)/(Datos[Semestre]=$M$18),ROWS($A$1:A9))),"")</f>
        <v>0.87749999999999995</v>
      </c>
      <c r="V30" s="4" cm="1">
        <f t="array" ref="V30">IFERROR(INDEX(Datos[Fecha],_xlfn.AGGREGATE(15,6,(ROW(Datos[Fecha])-MIN(ROW(Datos[Fecha]))+1)/(Datos[Semestre]=$M$18),ROWS($A$1:A9))),"")</f>
        <v>45372</v>
      </c>
    </row>
    <row r="31" spans="4:22" x14ac:dyDescent="0.3">
      <c r="D31" s="4">
        <v>45399</v>
      </c>
      <c r="E31">
        <f t="shared" si="0"/>
        <v>4</v>
      </c>
      <c r="F31">
        <f t="shared" si="1"/>
        <v>2024</v>
      </c>
      <c r="G31" s="10" t="str">
        <f t="shared" si="2"/>
        <v>2024-1</v>
      </c>
      <c r="H31" s="5">
        <v>0.93500000000000005</v>
      </c>
      <c r="I31" s="5"/>
      <c r="J31" s="9">
        <f>AVERAGE(Datos[[#This Row],[Cantidad litros AM]],Datos[[#This Row],[Cantidad litros PM]])</f>
        <v>0.93500000000000005</v>
      </c>
      <c r="K31" s="5"/>
      <c r="T31">
        <v>10</v>
      </c>
      <c r="U31" cm="1">
        <f t="array" ref="U31">IFERROR(INDEX(Datos[Promedio],_xlfn.AGGREGATE(15,6,(ROW(Datos[Promedio])-MIN(ROW(Datos[Promedio]))+1)/(Datos[Semestre]=$M$18),ROWS($A$1:A10))),"")</f>
        <v>0.74749999999999994</v>
      </c>
      <c r="V31" s="4" cm="1">
        <f t="array" ref="V31">IFERROR(INDEX(Datos[Fecha],_xlfn.AGGREGATE(15,6,(ROW(Datos[Fecha])-MIN(ROW(Datos[Fecha]))+1)/(Datos[Semestre]=$M$18),ROWS($A$1:A10))),"")</f>
        <v>45379</v>
      </c>
    </row>
    <row r="32" spans="4:22" x14ac:dyDescent="0.3">
      <c r="D32" s="4">
        <v>45406</v>
      </c>
      <c r="E32">
        <f t="shared" si="0"/>
        <v>4</v>
      </c>
      <c r="F32">
        <f t="shared" si="1"/>
        <v>2024</v>
      </c>
      <c r="G32" s="10" t="str">
        <f t="shared" si="2"/>
        <v>2024-1</v>
      </c>
      <c r="H32" s="5">
        <v>0.71499999999999997</v>
      </c>
      <c r="I32" s="5"/>
      <c r="J32" s="9">
        <f>AVERAGE(Datos[[#This Row],[Cantidad litros AM]],Datos[[#This Row],[Cantidad litros PM]])</f>
        <v>0.71499999999999997</v>
      </c>
      <c r="K32" s="5"/>
      <c r="T32">
        <v>11</v>
      </c>
      <c r="U32" cm="1">
        <f t="array" ref="U32">IFERROR(INDEX(Datos[Promedio],_xlfn.AGGREGATE(15,6,(ROW(Datos[Promedio])-MIN(ROW(Datos[Promedio]))+1)/(Datos[Semestre]=$M$18),ROWS($A$1:A11))),"")</f>
        <v>1.0900000000000001</v>
      </c>
      <c r="V32" s="4" cm="1">
        <f t="array" ref="V32">IFERROR(INDEX(Datos[Fecha],_xlfn.AGGREGATE(15,6,(ROW(Datos[Fecha])-MIN(ROW(Datos[Fecha]))+1)/(Datos[Semestre]=$M$18),ROWS($A$1:A11))),"")</f>
        <v>45385</v>
      </c>
    </row>
    <row r="33" spans="4:22" x14ac:dyDescent="0.3">
      <c r="D33" s="4">
        <v>45414</v>
      </c>
      <c r="E33">
        <f t="shared" si="0"/>
        <v>5</v>
      </c>
      <c r="F33">
        <f t="shared" si="1"/>
        <v>2024</v>
      </c>
      <c r="G33" s="10" t="str">
        <f t="shared" si="2"/>
        <v>2024-1</v>
      </c>
      <c r="H33" s="5">
        <v>0.57499999999999996</v>
      </c>
      <c r="I33" s="5"/>
      <c r="J33" s="9">
        <f>AVERAGE(Datos[[#This Row],[Cantidad litros AM]],Datos[[#This Row],[Cantidad litros PM]])</f>
        <v>0.57499999999999996</v>
      </c>
      <c r="K33" s="5"/>
      <c r="T33">
        <v>12</v>
      </c>
      <c r="U33" cm="1">
        <f t="array" ref="U33">IFERROR(INDEX(Datos[Promedio],_xlfn.AGGREGATE(15,6,(ROW(Datos[Promedio])-MIN(ROW(Datos[Promedio]))+1)/(Datos[Semestre]=$M$18),ROWS($A$1:A12))),"")</f>
        <v>1.0649999999999999</v>
      </c>
      <c r="V33" s="4" cm="1">
        <f t="array" ref="V33">IFERROR(INDEX(Datos[Fecha],_xlfn.AGGREGATE(15,6,(ROW(Datos[Fecha])-MIN(ROW(Datos[Fecha]))+1)/(Datos[Semestre]=$M$18),ROWS($A$1:A12))),"")</f>
        <v>45392</v>
      </c>
    </row>
    <row r="34" spans="4:22" x14ac:dyDescent="0.3">
      <c r="D34" s="4">
        <v>45420</v>
      </c>
      <c r="E34">
        <f t="shared" si="0"/>
        <v>5</v>
      </c>
      <c r="F34">
        <f t="shared" si="1"/>
        <v>2024</v>
      </c>
      <c r="G34" s="10" t="str">
        <f t="shared" si="2"/>
        <v>2024-1</v>
      </c>
      <c r="H34" s="5">
        <v>0.74</v>
      </c>
      <c r="I34" s="5"/>
      <c r="J34" s="5">
        <f>AVERAGE(Datos[[#This Row],[Cantidad litros AM]],Datos[[#This Row],[Cantidad litros PM]])</f>
        <v>0.74</v>
      </c>
      <c r="K34" s="5"/>
      <c r="T34">
        <v>13</v>
      </c>
      <c r="U34" cm="1">
        <f t="array" ref="U34">IFERROR(INDEX(Datos[Promedio],_xlfn.AGGREGATE(15,6,(ROW(Datos[Promedio])-MIN(ROW(Datos[Promedio]))+1)/(Datos[Semestre]=$M$18),ROWS($A$1:A13))),"")</f>
        <v>0.93500000000000005</v>
      </c>
      <c r="V34" s="4" cm="1">
        <f t="array" ref="V34">IFERROR(INDEX(Datos[Fecha],_xlfn.AGGREGATE(15,6,(ROW(Datos[Fecha])-MIN(ROW(Datos[Fecha]))+1)/(Datos[Semestre]=$M$18),ROWS($A$1:A13))),"")</f>
        <v>45399</v>
      </c>
    </row>
    <row r="35" spans="4:22" x14ac:dyDescent="0.3">
      <c r="D35" s="4">
        <v>45427</v>
      </c>
      <c r="E35">
        <f t="shared" si="0"/>
        <v>5</v>
      </c>
      <c r="F35">
        <f t="shared" si="1"/>
        <v>2024</v>
      </c>
      <c r="G35" s="10" t="str">
        <f t="shared" si="2"/>
        <v>2024-1</v>
      </c>
      <c r="H35" s="5">
        <v>0.6</v>
      </c>
      <c r="I35" s="5"/>
      <c r="J35" s="5">
        <f>AVERAGE(Datos[[#This Row],[Cantidad litros AM]],Datos[[#This Row],[Cantidad litros PM]])</f>
        <v>0.6</v>
      </c>
      <c r="K35" s="5"/>
      <c r="T35">
        <v>14</v>
      </c>
      <c r="U35" cm="1">
        <f t="array" ref="U35">IFERROR(INDEX(Datos[Promedio],_xlfn.AGGREGATE(15,6,(ROW(Datos[Promedio])-MIN(ROW(Datos[Promedio]))+1)/(Datos[Semestre]=$M$18),ROWS($A$1:A14))),"")</f>
        <v>0.71499999999999997</v>
      </c>
      <c r="V35" s="4" cm="1">
        <f t="array" ref="V35">IFERROR(INDEX(Datos[Fecha],_xlfn.AGGREGATE(15,6,(ROW(Datos[Fecha])-MIN(ROW(Datos[Fecha]))+1)/(Datos[Semestre]=$M$18),ROWS($A$1:A14))),"")</f>
        <v>45406</v>
      </c>
    </row>
    <row r="36" spans="4:22" x14ac:dyDescent="0.3">
      <c r="D36" s="4">
        <v>45435</v>
      </c>
      <c r="E36">
        <f t="shared" si="0"/>
        <v>5</v>
      </c>
      <c r="F36">
        <f t="shared" si="1"/>
        <v>2024</v>
      </c>
      <c r="G36" s="10" t="str">
        <f t="shared" si="2"/>
        <v>2024-1</v>
      </c>
      <c r="H36" s="5">
        <v>0.52</v>
      </c>
      <c r="I36" s="5"/>
      <c r="J36" s="5">
        <f>AVERAGE(Datos[[#This Row],[Cantidad litros AM]],Datos[[#This Row],[Cantidad litros PM]])</f>
        <v>0.52</v>
      </c>
      <c r="K36" s="5"/>
      <c r="T36">
        <v>15</v>
      </c>
      <c r="U36" cm="1">
        <f t="array" ref="U36">IFERROR(INDEX(Datos[Promedio],_xlfn.AGGREGATE(15,6,(ROW(Datos[Promedio])-MIN(ROW(Datos[Promedio]))+1)/(Datos[Semestre]=$M$18),ROWS($A$1:A15))),"")</f>
        <v>0.57499999999999996</v>
      </c>
      <c r="V36" s="4" cm="1">
        <f t="array" ref="V36">IFERROR(INDEX(Datos[Fecha],_xlfn.AGGREGATE(15,6,(ROW(Datos[Fecha])-MIN(ROW(Datos[Fecha]))+1)/(Datos[Semestre]=$M$18),ROWS($A$1:A15))),"")</f>
        <v>45414</v>
      </c>
    </row>
    <row r="37" spans="4:22" x14ac:dyDescent="0.3">
      <c r="D37" s="4">
        <v>45441</v>
      </c>
      <c r="E37">
        <f t="shared" si="0"/>
        <v>5</v>
      </c>
      <c r="F37">
        <f t="shared" si="1"/>
        <v>2024</v>
      </c>
      <c r="G37" s="10" t="str">
        <f t="shared" si="2"/>
        <v>2024-1</v>
      </c>
      <c r="H37" s="5">
        <v>0.52500000000000002</v>
      </c>
      <c r="I37" s="5"/>
      <c r="J37" s="5">
        <f>AVERAGE(Datos[[#This Row],[Cantidad litros AM]],Datos[[#This Row],[Cantidad litros PM]])</f>
        <v>0.52500000000000002</v>
      </c>
      <c r="K37" s="5"/>
      <c r="T37">
        <v>16</v>
      </c>
      <c r="U37" cm="1">
        <f t="array" ref="U37">IFERROR(INDEX(Datos[Promedio],_xlfn.AGGREGATE(15,6,(ROW(Datos[Promedio])-MIN(ROW(Datos[Promedio]))+1)/(Datos[Semestre]=$M$18),ROWS($A$1:A16))),"")</f>
        <v>0.74</v>
      </c>
      <c r="V37" s="4" cm="1">
        <f t="array" ref="V37">IFERROR(INDEX(Datos[Fecha],_xlfn.AGGREGATE(15,6,(ROW(Datos[Fecha])-MIN(ROW(Datos[Fecha]))+1)/(Datos[Semestre]=$M$18),ROWS($A$1:A16))),"")</f>
        <v>45420</v>
      </c>
    </row>
    <row r="38" spans="4:22" x14ac:dyDescent="0.3">
      <c r="D38" s="4">
        <v>45448</v>
      </c>
      <c r="E38">
        <f t="shared" si="0"/>
        <v>6</v>
      </c>
      <c r="F38">
        <f t="shared" si="1"/>
        <v>2024</v>
      </c>
      <c r="G38" s="10" t="str">
        <f t="shared" si="2"/>
        <v>2024-1</v>
      </c>
      <c r="H38" s="5">
        <v>0.42</v>
      </c>
      <c r="I38" s="5"/>
      <c r="J38" s="5">
        <f>AVERAGE(Datos[[#This Row],[Cantidad litros AM]],Datos[[#This Row],[Cantidad litros PM]])</f>
        <v>0.42</v>
      </c>
      <c r="K38" s="5"/>
      <c r="T38">
        <v>17</v>
      </c>
      <c r="U38" cm="1">
        <f t="array" ref="U38">IFERROR(INDEX(Datos[Promedio],_xlfn.AGGREGATE(15,6,(ROW(Datos[Promedio])-MIN(ROW(Datos[Promedio]))+1)/(Datos[Semestre]=$M$18),ROWS($A$1:A17))),"")</f>
        <v>0.6</v>
      </c>
      <c r="V38" s="4" cm="1">
        <f t="array" ref="V38">IFERROR(INDEX(Datos[Fecha],_xlfn.AGGREGATE(15,6,(ROW(Datos[Fecha])-MIN(ROW(Datos[Fecha]))+1)/(Datos[Semestre]=$M$18),ROWS($A$1:A17))),"")</f>
        <v>45427</v>
      </c>
    </row>
    <row r="39" spans="4:22" x14ac:dyDescent="0.3">
      <c r="D39" s="4">
        <v>45456</v>
      </c>
      <c r="E39">
        <f t="shared" si="0"/>
        <v>6</v>
      </c>
      <c r="F39">
        <f t="shared" si="1"/>
        <v>2024</v>
      </c>
      <c r="G39" s="10" t="str">
        <f t="shared" si="2"/>
        <v>2024-1</v>
      </c>
      <c r="H39" s="5">
        <v>0.59499999999999997</v>
      </c>
      <c r="I39" s="5"/>
      <c r="J39" s="5">
        <f>AVERAGE(Datos[[#This Row],[Cantidad litros AM]],Datos[[#This Row],[Cantidad litros PM]])</f>
        <v>0.59499999999999997</v>
      </c>
      <c r="K39" s="5"/>
      <c r="T39">
        <v>18</v>
      </c>
      <c r="U39" cm="1">
        <f t="array" ref="U39">IFERROR(INDEX(Datos[Promedio],_xlfn.AGGREGATE(15,6,(ROW(Datos[Promedio])-MIN(ROW(Datos[Promedio]))+1)/(Datos[Semestre]=$M$18),ROWS($A$1:A18))),"")</f>
        <v>0.52</v>
      </c>
      <c r="V39" s="4" cm="1">
        <f t="array" ref="V39">IFERROR(INDEX(Datos[Fecha],_xlfn.AGGREGATE(15,6,(ROW(Datos[Fecha])-MIN(ROW(Datos[Fecha]))+1)/(Datos[Semestre]=$M$18),ROWS($A$1:A18))),"")</f>
        <v>45435</v>
      </c>
    </row>
    <row r="40" spans="4:22" x14ac:dyDescent="0.3">
      <c r="D40" s="4">
        <v>45477</v>
      </c>
      <c r="E40">
        <f t="shared" si="0"/>
        <v>7</v>
      </c>
      <c r="F40">
        <f t="shared" si="1"/>
        <v>2024</v>
      </c>
      <c r="G40" s="10" t="str">
        <f t="shared" si="2"/>
        <v>2024-2</v>
      </c>
      <c r="H40" s="5">
        <v>0.28999999999999998</v>
      </c>
      <c r="I40" s="5"/>
      <c r="J40" s="5">
        <f>AVERAGE(Datos[[#This Row],[Cantidad litros AM]],Datos[[#This Row],[Cantidad litros PM]])</f>
        <v>0.28999999999999998</v>
      </c>
      <c r="K40" s="5"/>
      <c r="T40">
        <v>19</v>
      </c>
      <c r="U40" cm="1">
        <f t="array" ref="U40">IFERROR(INDEX(Datos[Promedio],_xlfn.AGGREGATE(15,6,(ROW(Datos[Promedio])-MIN(ROW(Datos[Promedio]))+1)/(Datos[Semestre]=$M$18),ROWS($A$1:A19))),"")</f>
        <v>0.52500000000000002</v>
      </c>
      <c r="V40" s="4" cm="1">
        <f t="array" ref="V40">IFERROR(INDEX(Datos[Fecha],_xlfn.AGGREGATE(15,6,(ROW(Datos[Fecha])-MIN(ROW(Datos[Fecha]))+1)/(Datos[Semestre]=$M$18),ROWS($A$1:A19))),"")</f>
        <v>45441</v>
      </c>
    </row>
    <row r="41" spans="4:22" x14ac:dyDescent="0.3">
      <c r="D41" s="4">
        <v>45484</v>
      </c>
      <c r="E41">
        <f t="shared" si="0"/>
        <v>7</v>
      </c>
      <c r="F41">
        <f t="shared" si="1"/>
        <v>2024</v>
      </c>
      <c r="G41" s="10" t="str">
        <f t="shared" si="2"/>
        <v>2024-2</v>
      </c>
      <c r="H41" s="5">
        <v>0.33500000000000002</v>
      </c>
      <c r="I41" s="5"/>
      <c r="J41" s="5">
        <f>AVERAGE(Datos[[#This Row],[Cantidad litros AM]],Datos[[#This Row],[Cantidad litros PM]])</f>
        <v>0.33500000000000002</v>
      </c>
      <c r="K41" s="5"/>
      <c r="T41">
        <v>20</v>
      </c>
      <c r="U41" cm="1">
        <f t="array" ref="U41">IFERROR(INDEX(Datos[Promedio],_xlfn.AGGREGATE(15,6,(ROW(Datos[Promedio])-MIN(ROW(Datos[Promedio]))+1)/(Datos[Semestre]=$M$18),ROWS($A$1:A20))),"")</f>
        <v>0.42</v>
      </c>
      <c r="V41" s="4" cm="1">
        <f t="array" ref="V41">IFERROR(INDEX(Datos[Fecha],_xlfn.AGGREGATE(15,6,(ROW(Datos[Fecha])-MIN(ROW(Datos[Fecha]))+1)/(Datos[Semestre]=$M$18),ROWS($A$1:A20))),"")</f>
        <v>45448</v>
      </c>
    </row>
    <row r="42" spans="4:22" x14ac:dyDescent="0.3">
      <c r="D42" s="4">
        <v>45491</v>
      </c>
      <c r="E42">
        <f t="shared" si="0"/>
        <v>7</v>
      </c>
      <c r="F42">
        <f t="shared" si="1"/>
        <v>2024</v>
      </c>
      <c r="G42" s="10" t="str">
        <f t="shared" si="2"/>
        <v>2024-2</v>
      </c>
      <c r="H42" s="5">
        <v>0.29499999999999998</v>
      </c>
      <c r="I42" s="5"/>
      <c r="J42" s="5">
        <f>AVERAGE(Datos[[#This Row],[Cantidad litros AM]],Datos[[#This Row],[Cantidad litros PM]])</f>
        <v>0.29499999999999998</v>
      </c>
      <c r="K42" s="5"/>
      <c r="T42">
        <v>21</v>
      </c>
      <c r="U42" cm="1">
        <f t="array" ref="U42">IFERROR(INDEX(Datos[Promedio],_xlfn.AGGREGATE(15,6,(ROW(Datos[Promedio])-MIN(ROW(Datos[Promedio]))+1)/(Datos[Semestre]=$M$18),ROWS($A$1:A21))),"")</f>
        <v>0.59499999999999997</v>
      </c>
      <c r="V42" s="4" cm="1">
        <f t="array" ref="V42">IFERROR(INDEX(Datos[Fecha],_xlfn.AGGREGATE(15,6,(ROW(Datos[Fecha])-MIN(ROW(Datos[Fecha]))+1)/(Datos[Semestre]=$M$18),ROWS($A$1:A21))),"")</f>
        <v>45456</v>
      </c>
    </row>
    <row r="43" spans="4:22" x14ac:dyDescent="0.3">
      <c r="D43" s="4">
        <v>45503</v>
      </c>
      <c r="E43">
        <f t="shared" si="0"/>
        <v>7</v>
      </c>
      <c r="F43">
        <f t="shared" si="1"/>
        <v>2024</v>
      </c>
      <c r="G43" s="10" t="str">
        <f t="shared" si="2"/>
        <v>2024-2</v>
      </c>
      <c r="H43" s="5">
        <v>0.27</v>
      </c>
      <c r="I43" s="5"/>
      <c r="J43" s="5">
        <f>AVERAGE(Datos[[#This Row],[Cantidad litros AM]],Datos[[#This Row],[Cantidad litros PM]])</f>
        <v>0.27</v>
      </c>
      <c r="K43" s="5"/>
      <c r="T43">
        <v>22</v>
      </c>
      <c r="U43" t="str" cm="1">
        <f t="array" ref="U43">IFERROR(INDEX(Datos[Promedio],_xlfn.AGGREGATE(15,6,(ROW(Datos[Promedio])-MIN(ROW(Datos[Promedio]))+1)/(Datos[Semestre]=$M$18),ROWS($A$1:A22))),"")</f>
        <v/>
      </c>
      <c r="V43" s="4" t="str" cm="1">
        <f t="array" ref="V43">IFERROR(INDEX(Datos[Fecha],_xlfn.AGGREGATE(15,6,(ROW(Datos[Fecha])-MIN(ROW(Datos[Fecha]))+1)/(Datos[Semestre]=$M$18),ROWS($A$1:A22))),"")</f>
        <v/>
      </c>
    </row>
    <row r="44" spans="4:22" x14ac:dyDescent="0.3">
      <c r="D44" s="4">
        <v>45511</v>
      </c>
      <c r="E44">
        <f t="shared" si="0"/>
        <v>8</v>
      </c>
      <c r="F44">
        <f t="shared" si="1"/>
        <v>2024</v>
      </c>
      <c r="G44" s="10" t="str">
        <f t="shared" si="2"/>
        <v>2024-2</v>
      </c>
      <c r="H44" s="5">
        <v>0.18</v>
      </c>
      <c r="I44" s="5"/>
      <c r="J44" s="5">
        <f>AVERAGE(Datos[[#This Row],[Cantidad litros AM]],Datos[[#This Row],[Cantidad litros PM]])</f>
        <v>0.18</v>
      </c>
      <c r="K44" s="5"/>
      <c r="T44">
        <v>23</v>
      </c>
      <c r="U44" t="str" cm="1">
        <f t="array" ref="U44">IFERROR(INDEX(Datos[Promedio],_xlfn.AGGREGATE(15,6,(ROW(Datos[Promedio])-MIN(ROW(Datos[Promedio]))+1)/(Datos[Semestre]=$M$18),ROWS($A$1:A23))),"")</f>
        <v/>
      </c>
      <c r="V44" s="4" t="str" cm="1">
        <f t="array" ref="V44">IFERROR(INDEX(Datos[Fecha],_xlfn.AGGREGATE(15,6,(ROW(Datos[Fecha])-MIN(ROW(Datos[Fecha]))+1)/(Datos[Semestre]=$M$18),ROWS($A$1:A23))),"")</f>
        <v/>
      </c>
    </row>
    <row r="45" spans="4:22" x14ac:dyDescent="0.3">
      <c r="D45" s="4">
        <v>45552</v>
      </c>
      <c r="E45">
        <f t="shared" si="0"/>
        <v>9</v>
      </c>
      <c r="F45">
        <f t="shared" si="1"/>
        <v>2024</v>
      </c>
      <c r="G45" s="10" t="str">
        <f t="shared" si="2"/>
        <v>2024-2</v>
      </c>
      <c r="H45" s="5">
        <v>0.46</v>
      </c>
      <c r="I45" s="5"/>
      <c r="J45" s="5">
        <f>AVERAGE(Datos[[#This Row],[Cantidad litros AM]],Datos[[#This Row],[Cantidad litros PM]])</f>
        <v>0.46</v>
      </c>
      <c r="K45" s="5"/>
      <c r="T45">
        <v>24</v>
      </c>
      <c r="U45" t="str" cm="1">
        <f t="array" ref="U45">IFERROR(INDEX(Datos[Promedio],_xlfn.AGGREGATE(15,6,(ROW(Datos[Promedio])-MIN(ROW(Datos[Promedio]))+1)/(Datos[Semestre]=$M$18),ROWS($A$1:A24))),"")</f>
        <v/>
      </c>
      <c r="V45" s="4" t="str" cm="1">
        <f t="array" ref="V45">IFERROR(INDEX(Datos[Fecha],_xlfn.AGGREGATE(15,6,(ROW(Datos[Fecha])-MIN(ROW(Datos[Fecha]))+1)/(Datos[Semestre]=$M$18),ROWS($A$1:A24))),"")</f>
        <v/>
      </c>
    </row>
    <row r="46" spans="4:22" x14ac:dyDescent="0.3">
      <c r="D46" s="4">
        <v>45553</v>
      </c>
      <c r="E46">
        <f t="shared" si="0"/>
        <v>9</v>
      </c>
      <c r="F46">
        <f t="shared" si="1"/>
        <v>2024</v>
      </c>
      <c r="G46" s="10" t="str">
        <f t="shared" si="2"/>
        <v>2024-2</v>
      </c>
      <c r="H46" s="5">
        <v>0.29499999999999998</v>
      </c>
      <c r="I46" s="5"/>
      <c r="J46" s="5">
        <f>AVERAGE(Datos[[#This Row],[Cantidad litros AM]],Datos[[#This Row],[Cantidad litros PM]])</f>
        <v>0.29499999999999998</v>
      </c>
      <c r="K46" s="5"/>
      <c r="T46">
        <v>25</v>
      </c>
      <c r="U46" t="str" cm="1">
        <f t="array" ref="U46">IFERROR(INDEX(Datos[Promedio],_xlfn.AGGREGATE(15,6,(ROW(Datos[Promedio])-MIN(ROW(Datos[Promedio]))+1)/(Datos[Semestre]=$M$18),ROWS($A$1:A25))),"")</f>
        <v/>
      </c>
      <c r="V46" s="4" t="str" cm="1">
        <f t="array" ref="V46">IFERROR(INDEX(Datos[Fecha],_xlfn.AGGREGATE(15,6,(ROW(Datos[Fecha])-MIN(ROW(Datos[Fecha]))+1)/(Datos[Semestre]=$M$18),ROWS($A$1:A25))),"")</f>
        <v/>
      </c>
    </row>
    <row r="47" spans="4:22" x14ac:dyDescent="0.3">
      <c r="D47" s="4">
        <v>45575</v>
      </c>
      <c r="E47">
        <f t="shared" si="0"/>
        <v>10</v>
      </c>
      <c r="F47">
        <f t="shared" si="1"/>
        <v>2024</v>
      </c>
      <c r="G47" s="10" t="str">
        <f t="shared" si="2"/>
        <v>2024-2</v>
      </c>
      <c r="H47" s="5">
        <v>0.34</v>
      </c>
      <c r="I47" s="5"/>
      <c r="J47" s="5">
        <f>AVERAGE(Datos[[#This Row],[Cantidad litros AM]],Datos[[#This Row],[Cantidad litros PM]])</f>
        <v>0.34</v>
      </c>
      <c r="K47" s="5"/>
      <c r="T47">
        <v>26</v>
      </c>
      <c r="U47" t="str" cm="1">
        <f t="array" ref="U47">IFERROR(INDEX(Datos[Promedio],_xlfn.AGGREGATE(15,6,(ROW(Datos[Promedio])-MIN(ROW(Datos[Promedio]))+1)/(Datos[Semestre]=$M$18),ROWS($A$1:A26))),"")</f>
        <v/>
      </c>
      <c r="V47" s="4" t="str" cm="1">
        <f t="array" ref="V47">IFERROR(INDEX(Datos[Fecha],_xlfn.AGGREGATE(15,6,(ROW(Datos[Fecha])-MIN(ROW(Datos[Fecha]))+1)/(Datos[Semestre]=$M$18),ROWS($A$1:A26))),"")</f>
        <v/>
      </c>
    </row>
    <row r="48" spans="4:22" x14ac:dyDescent="0.3">
      <c r="D48" s="4">
        <v>45709</v>
      </c>
      <c r="E48">
        <f t="shared" si="0"/>
        <v>2</v>
      </c>
      <c r="F48">
        <f t="shared" si="1"/>
        <v>2025</v>
      </c>
      <c r="G48" s="10" t="str">
        <f t="shared" si="2"/>
        <v>2025-1</v>
      </c>
      <c r="H48" s="5">
        <v>0.47499999999999998</v>
      </c>
      <c r="I48" s="5"/>
      <c r="J48" s="5">
        <f>AVERAGE(Datos[[#This Row],[Cantidad litros AM]],Datos[[#This Row],[Cantidad litros PM]])</f>
        <v>0.47499999999999998</v>
      </c>
      <c r="K48" s="5"/>
    </row>
    <row r="49" spans="4:11" x14ac:dyDescent="0.3">
      <c r="D49" s="4">
        <v>45724</v>
      </c>
      <c r="E49">
        <f t="shared" si="0"/>
        <v>3</v>
      </c>
      <c r="F49">
        <f t="shared" si="1"/>
        <v>2025</v>
      </c>
      <c r="G49" s="10" t="str">
        <f t="shared" si="2"/>
        <v>2025-1</v>
      </c>
      <c r="H49" s="5">
        <v>0.24</v>
      </c>
      <c r="I49" s="5"/>
      <c r="J49" s="5">
        <f>AVERAGE(Datos[[#This Row],[Cantidad litros AM]],Datos[[#This Row],[Cantidad litros PM]])</f>
        <v>0.24</v>
      </c>
      <c r="K49" s="5"/>
    </row>
    <row r="50" spans="4:11" x14ac:dyDescent="0.3">
      <c r="D50" s="4">
        <v>45729</v>
      </c>
      <c r="E50">
        <f t="shared" si="0"/>
        <v>3</v>
      </c>
      <c r="F50">
        <f t="shared" si="1"/>
        <v>2025</v>
      </c>
      <c r="G50" s="10" t="str">
        <f t="shared" si="2"/>
        <v>2025-1</v>
      </c>
      <c r="H50" s="5">
        <v>0.25</v>
      </c>
      <c r="I50" s="5"/>
      <c r="J50" s="5">
        <f>AVERAGE(Datos[[#This Row],[Cantidad litros AM]],Datos[[#This Row],[Cantidad litros PM]])</f>
        <v>0.25</v>
      </c>
      <c r="K50" s="5"/>
    </row>
    <row r="51" spans="4:11" x14ac:dyDescent="0.3">
      <c r="D51" s="4">
        <v>45736</v>
      </c>
      <c r="E51">
        <f t="shared" si="0"/>
        <v>3</v>
      </c>
      <c r="F51">
        <f t="shared" si="1"/>
        <v>2025</v>
      </c>
      <c r="G51" s="10" t="str">
        <f t="shared" si="2"/>
        <v>2025-1</v>
      </c>
      <c r="H51" s="5">
        <v>0.22</v>
      </c>
      <c r="I51" s="5"/>
      <c r="J51" s="5">
        <f>AVERAGE(Datos[[#This Row],[Cantidad litros AM]],Datos[[#This Row],[Cantidad litros PM]])</f>
        <v>0.22</v>
      </c>
      <c r="K51" s="5"/>
    </row>
    <row r="52" spans="4:11" x14ac:dyDescent="0.3">
      <c r="D52" s="4">
        <v>45743</v>
      </c>
      <c r="E52">
        <f t="shared" si="0"/>
        <v>3</v>
      </c>
      <c r="F52">
        <f t="shared" si="1"/>
        <v>2025</v>
      </c>
      <c r="G52" s="10" t="str">
        <f t="shared" si="2"/>
        <v>2025-1</v>
      </c>
      <c r="H52" s="5">
        <v>0.68500000000000005</v>
      </c>
      <c r="I52" s="5"/>
      <c r="J52" s="5">
        <f>AVERAGE(Datos[[#This Row],[Cantidad litros AM]],Datos[[#This Row],[Cantidad litros PM]])</f>
        <v>0.68500000000000005</v>
      </c>
      <c r="K52" s="5"/>
    </row>
    <row r="53" spans="4:11" x14ac:dyDescent="0.3">
      <c r="D53" s="4">
        <v>45749</v>
      </c>
      <c r="E53">
        <f t="shared" si="0"/>
        <v>4</v>
      </c>
      <c r="F53">
        <f t="shared" si="1"/>
        <v>2025</v>
      </c>
      <c r="G53" s="10" t="str">
        <f t="shared" si="2"/>
        <v>2025-1</v>
      </c>
      <c r="H53" s="5">
        <v>0.23</v>
      </c>
      <c r="I53" s="5"/>
      <c r="J53" s="5">
        <f>AVERAGE(Datos[[#This Row],[Cantidad litros AM]],Datos[[#This Row],[Cantidad litros PM]])</f>
        <v>0.23</v>
      </c>
      <c r="K53" s="5"/>
    </row>
    <row r="54" spans="4:11" x14ac:dyDescent="0.3">
      <c r="D54" s="4">
        <v>45784</v>
      </c>
      <c r="E54">
        <f t="shared" si="0"/>
        <v>5</v>
      </c>
      <c r="F54">
        <f t="shared" si="1"/>
        <v>2025</v>
      </c>
      <c r="G54" s="10" t="str">
        <f t="shared" si="2"/>
        <v>2025-1</v>
      </c>
      <c r="H54" s="5">
        <v>0.27500000000000002</v>
      </c>
      <c r="I54" s="5"/>
      <c r="J54" s="5">
        <f>AVERAGE(Datos[[#This Row],[Cantidad litros AM]],Datos[[#This Row],[Cantidad litros PM]])</f>
        <v>0.27500000000000002</v>
      </c>
      <c r="K54" s="5"/>
    </row>
    <row r="55" spans="4:11" x14ac:dyDescent="0.3">
      <c r="D55" s="4">
        <v>45798</v>
      </c>
      <c r="E55">
        <f t="shared" si="0"/>
        <v>5</v>
      </c>
      <c r="F55">
        <f t="shared" si="1"/>
        <v>2025</v>
      </c>
      <c r="G55" s="10" t="str">
        <f t="shared" si="2"/>
        <v>2025-1</v>
      </c>
      <c r="H55" s="5">
        <v>0.26500000000000001</v>
      </c>
      <c r="I55" s="5"/>
      <c r="J55" s="5">
        <f>AVERAGE(Datos[[#This Row],[Cantidad litros AM]],Datos[[#This Row],[Cantidad litros PM]])</f>
        <v>0.26500000000000001</v>
      </c>
      <c r="K55" s="5"/>
    </row>
    <row r="56" spans="4:11" x14ac:dyDescent="0.3">
      <c r="D56" s="4">
        <v>45808</v>
      </c>
      <c r="E56">
        <f t="shared" si="0"/>
        <v>5</v>
      </c>
      <c r="F56">
        <f t="shared" si="1"/>
        <v>2025</v>
      </c>
      <c r="G56" s="10" t="str">
        <f t="shared" si="2"/>
        <v>2025-1</v>
      </c>
      <c r="H56" s="5">
        <v>0.15</v>
      </c>
      <c r="I56" s="5"/>
      <c r="J56" s="5">
        <f>AVERAGE(Datos[[#This Row],[Cantidad litros AM]],Datos[[#This Row],[Cantidad litros PM]])</f>
        <v>0.15</v>
      </c>
      <c r="K56" s="5"/>
    </row>
    <row r="57" spans="4:11" x14ac:dyDescent="0.3">
      <c r="D57" s="4"/>
      <c r="H57" s="5"/>
      <c r="I57" s="5"/>
      <c r="J57" s="5"/>
      <c r="K57" s="5"/>
    </row>
    <row r="58" spans="4:11" x14ac:dyDescent="0.3">
      <c r="D58" s="4"/>
      <c r="H58" s="5"/>
      <c r="I58" s="5"/>
      <c r="J58" s="5"/>
      <c r="K58" s="5"/>
    </row>
    <row r="59" spans="4:11" x14ac:dyDescent="0.3">
      <c r="D59" s="4"/>
      <c r="H59" s="5"/>
      <c r="I59" s="5"/>
      <c r="J59" s="5"/>
      <c r="K59" s="5"/>
    </row>
    <row r="60" spans="4:11" x14ac:dyDescent="0.3">
      <c r="D60" s="4"/>
      <c r="H60" s="5"/>
      <c r="I60" s="5"/>
      <c r="J60" s="5"/>
      <c r="K60" s="5"/>
    </row>
    <row r="61" spans="4:11" x14ac:dyDescent="0.3">
      <c r="D61" s="4"/>
      <c r="H61" s="5"/>
      <c r="I61" s="5"/>
      <c r="J61" s="5"/>
      <c r="K61" s="5"/>
    </row>
    <row r="62" spans="4:11" x14ac:dyDescent="0.3">
      <c r="D62" s="4"/>
      <c r="H62" s="5"/>
      <c r="I62" s="5"/>
      <c r="J62" s="5"/>
      <c r="K62" s="5"/>
    </row>
    <row r="63" spans="4:11" x14ac:dyDescent="0.3">
      <c r="D63" s="4"/>
      <c r="H63" s="5"/>
      <c r="I63" s="5"/>
      <c r="J63" s="5"/>
      <c r="K63" s="5"/>
    </row>
    <row r="64" spans="4:11" x14ac:dyDescent="0.3">
      <c r="D64" s="4"/>
      <c r="H64" s="5"/>
      <c r="I64" s="5"/>
      <c r="J64" s="5"/>
      <c r="K64" s="5"/>
    </row>
    <row r="65" spans="4:11" x14ac:dyDescent="0.3">
      <c r="D65" s="4"/>
      <c r="H65" s="5"/>
      <c r="I65" s="5"/>
      <c r="J65" s="5"/>
      <c r="K65" s="5"/>
    </row>
    <row r="66" spans="4:11" x14ac:dyDescent="0.3">
      <c r="D66" s="4"/>
      <c r="H66" s="5"/>
      <c r="I66" s="5"/>
      <c r="J66" s="5"/>
      <c r="K66" s="5"/>
    </row>
    <row r="67" spans="4:11" x14ac:dyDescent="0.3">
      <c r="D67" s="4"/>
      <c r="H67" s="5"/>
      <c r="I67" s="5"/>
      <c r="J67" s="5"/>
      <c r="K67" s="5"/>
    </row>
    <row r="68" spans="4:11" x14ac:dyDescent="0.3">
      <c r="D68" s="4"/>
      <c r="H68" s="5"/>
      <c r="I68" s="5"/>
      <c r="J68" s="5"/>
      <c r="K68" s="5"/>
    </row>
    <row r="69" spans="4:11" x14ac:dyDescent="0.3">
      <c r="D69" s="4"/>
      <c r="H69" s="5"/>
      <c r="I69" s="5"/>
      <c r="J69" s="5"/>
      <c r="K69" s="5"/>
    </row>
    <row r="70" spans="4:11" x14ac:dyDescent="0.3">
      <c r="D70" s="4"/>
      <c r="H70" s="5"/>
      <c r="I70" s="5"/>
      <c r="J70" s="5"/>
      <c r="K70" s="5"/>
    </row>
    <row r="71" spans="4:11" x14ac:dyDescent="0.3">
      <c r="D71" s="4"/>
      <c r="H71" s="5"/>
      <c r="I71" s="5"/>
      <c r="J71" s="5"/>
      <c r="K71" s="5"/>
    </row>
    <row r="72" spans="4:11" x14ac:dyDescent="0.3">
      <c r="D72" s="4"/>
      <c r="H72" s="5"/>
      <c r="I72" s="5"/>
      <c r="J72" s="5"/>
      <c r="K72" s="5"/>
    </row>
    <row r="73" spans="4:11" x14ac:dyDescent="0.3">
      <c r="D73" s="4"/>
      <c r="H73" s="5"/>
      <c r="I73" s="5"/>
      <c r="J73" s="5"/>
      <c r="K73" s="5"/>
    </row>
    <row r="74" spans="4:11" x14ac:dyDescent="0.3">
      <c r="D74" s="4"/>
      <c r="H74" s="5"/>
      <c r="I74" s="5"/>
      <c r="J74" s="5"/>
      <c r="K74" s="5"/>
    </row>
    <row r="75" spans="4:11" x14ac:dyDescent="0.3">
      <c r="D75" s="4"/>
      <c r="H75" s="5"/>
      <c r="I75" s="5"/>
      <c r="J75" s="5"/>
      <c r="K75" s="5"/>
    </row>
    <row r="76" spans="4:11" x14ac:dyDescent="0.3">
      <c r="D76" s="4"/>
      <c r="H76" s="5"/>
      <c r="I76" s="5"/>
      <c r="J76" s="5"/>
      <c r="K76" s="5"/>
    </row>
    <row r="77" spans="4:11" x14ac:dyDescent="0.3">
      <c r="D77" s="4"/>
      <c r="H77" s="5"/>
      <c r="I77" s="5"/>
      <c r="J77" s="5"/>
      <c r="K77" s="5"/>
    </row>
    <row r="78" spans="4:11" x14ac:dyDescent="0.3">
      <c r="D78" s="4"/>
      <c r="H78" s="5"/>
      <c r="I78" s="5"/>
      <c r="J78" s="5"/>
      <c r="K78" s="5"/>
    </row>
    <row r="79" spans="4:11" x14ac:dyDescent="0.3">
      <c r="D79" s="4"/>
      <c r="H79" s="5"/>
      <c r="I79" s="5"/>
      <c r="J79" s="5"/>
      <c r="K79" s="5"/>
    </row>
    <row r="80" spans="4:11" x14ac:dyDescent="0.3">
      <c r="D80" s="4"/>
      <c r="H80" s="5"/>
      <c r="I80" s="5"/>
      <c r="J80" s="5"/>
      <c r="K80" s="5"/>
    </row>
    <row r="81" spans="4:11" x14ac:dyDescent="0.3">
      <c r="D81" s="4"/>
      <c r="H81" s="5"/>
      <c r="I81" s="5"/>
      <c r="J81" s="5"/>
      <c r="K81" s="5"/>
    </row>
    <row r="82" spans="4:11" x14ac:dyDescent="0.3">
      <c r="D82" s="4"/>
      <c r="H82" s="5"/>
      <c r="I82" s="5"/>
      <c r="J82" s="5"/>
      <c r="K82" s="5"/>
    </row>
    <row r="83" spans="4:11" x14ac:dyDescent="0.3">
      <c r="D83" s="4"/>
      <c r="H83" s="5"/>
      <c r="I83" s="5"/>
      <c r="J83" s="5"/>
      <c r="K83" s="5"/>
    </row>
    <row r="84" spans="4:11" x14ac:dyDescent="0.3">
      <c r="D84" s="4"/>
      <c r="H84" s="5"/>
      <c r="I84" s="5"/>
      <c r="J84" s="5"/>
      <c r="K84" s="5"/>
    </row>
    <row r="85" spans="4:11" x14ac:dyDescent="0.3">
      <c r="D85" s="4"/>
      <c r="H85" s="5"/>
      <c r="I85" s="5"/>
      <c r="J85" s="5"/>
      <c r="K85" s="5"/>
    </row>
    <row r="86" spans="4:11" x14ac:dyDescent="0.3">
      <c r="D86" s="4"/>
      <c r="H86" s="5"/>
      <c r="I86" s="5"/>
      <c r="J86" s="5"/>
      <c r="K86" s="5"/>
    </row>
    <row r="87" spans="4:11" x14ac:dyDescent="0.3">
      <c r="D87" s="4"/>
      <c r="H87" s="5"/>
      <c r="I87" s="5"/>
      <c r="J87" s="5"/>
      <c r="K87" s="5"/>
    </row>
    <row r="88" spans="4:11" x14ac:dyDescent="0.3">
      <c r="D88" s="4"/>
      <c r="H88" s="5"/>
      <c r="I88" s="5"/>
      <c r="J88" s="5"/>
      <c r="K88" s="5"/>
    </row>
    <row r="89" spans="4:11" x14ac:dyDescent="0.3">
      <c r="D89" s="4"/>
      <c r="H89" s="5"/>
      <c r="I89" s="5"/>
      <c r="J89" s="5"/>
      <c r="K89" s="5"/>
    </row>
    <row r="90" spans="4:11" x14ac:dyDescent="0.3">
      <c r="D90" s="4"/>
      <c r="H90" s="5"/>
      <c r="I90" s="5"/>
      <c r="J90" s="5"/>
      <c r="K90" s="5"/>
    </row>
    <row r="91" spans="4:11" x14ac:dyDescent="0.3">
      <c r="D91" s="4"/>
      <c r="H91" s="5"/>
      <c r="I91" s="5"/>
      <c r="J91" s="5"/>
      <c r="K91" s="5"/>
    </row>
    <row r="92" spans="4:11" x14ac:dyDescent="0.3">
      <c r="D92" s="4"/>
      <c r="H92" s="5"/>
      <c r="I92" s="5"/>
      <c r="J92" s="5"/>
      <c r="K92" s="5"/>
    </row>
    <row r="93" spans="4:11" x14ac:dyDescent="0.3">
      <c r="D93" s="4"/>
      <c r="H93" s="5"/>
      <c r="I93" s="5"/>
      <c r="J93" s="5"/>
      <c r="K93" s="5"/>
    </row>
    <row r="94" spans="4:11" x14ac:dyDescent="0.3">
      <c r="D94" s="4"/>
      <c r="H94" s="5"/>
      <c r="I94" s="5"/>
      <c r="J94" s="5"/>
      <c r="K94" s="5"/>
    </row>
    <row r="95" spans="4:11" x14ac:dyDescent="0.3">
      <c r="D95" s="4"/>
      <c r="H95" s="5"/>
      <c r="I95" s="5"/>
      <c r="J95" s="5"/>
      <c r="K95" s="5"/>
    </row>
    <row r="96" spans="4:11" x14ac:dyDescent="0.3">
      <c r="D96" s="4"/>
      <c r="H96" s="5"/>
      <c r="I96" s="5"/>
      <c r="J96" s="5"/>
      <c r="K96" s="5"/>
    </row>
    <row r="97" spans="4:11" x14ac:dyDescent="0.3">
      <c r="D97" s="4"/>
      <c r="H97" s="5"/>
      <c r="I97" s="5"/>
      <c r="J97" s="5"/>
      <c r="K97" s="5"/>
    </row>
    <row r="98" spans="4:11" x14ac:dyDescent="0.3">
      <c r="D98" s="4"/>
      <c r="H98" s="5"/>
      <c r="I98" s="5"/>
      <c r="J98" s="5"/>
      <c r="K98" s="5"/>
    </row>
    <row r="99" spans="4:11" x14ac:dyDescent="0.3">
      <c r="D99" s="4"/>
      <c r="H99" s="5"/>
      <c r="I99" s="5"/>
      <c r="J99" s="5"/>
      <c r="K99" s="5"/>
    </row>
    <row r="100" spans="4:11" x14ac:dyDescent="0.3">
      <c r="D100" s="4"/>
      <c r="H100" s="5"/>
      <c r="I100" s="5"/>
      <c r="J100" s="5"/>
      <c r="K100" s="5"/>
    </row>
    <row r="101" spans="4:11" x14ac:dyDescent="0.3">
      <c r="D101" s="4"/>
      <c r="H101" s="5"/>
      <c r="I101" s="5"/>
      <c r="J101" s="5"/>
      <c r="K101" s="5"/>
    </row>
    <row r="102" spans="4:11" x14ac:dyDescent="0.3">
      <c r="D102" s="4"/>
      <c r="H102" s="5"/>
      <c r="I102" s="5"/>
      <c r="J102" s="5"/>
      <c r="K102" s="5"/>
    </row>
    <row r="103" spans="4:11" x14ac:dyDescent="0.3">
      <c r="D103" s="4"/>
      <c r="H103" s="5"/>
      <c r="I103" s="5"/>
      <c r="J103" s="5"/>
      <c r="K103" s="5"/>
    </row>
    <row r="104" spans="4:11" x14ac:dyDescent="0.3">
      <c r="D104" s="4"/>
      <c r="H104" s="5"/>
      <c r="I104" s="5"/>
      <c r="J104" s="5"/>
      <c r="K104" s="5"/>
    </row>
    <row r="105" spans="4:11" x14ac:dyDescent="0.3">
      <c r="D105" s="4"/>
      <c r="H105" s="5"/>
      <c r="I105" s="5"/>
      <c r="J105" s="5"/>
      <c r="K105" s="5"/>
    </row>
    <row r="106" spans="4:11" x14ac:dyDescent="0.3">
      <c r="D106" s="4"/>
      <c r="H106" s="5"/>
      <c r="I106" s="5"/>
      <c r="J106" s="5"/>
      <c r="K106" s="5"/>
    </row>
    <row r="107" spans="4:11" x14ac:dyDescent="0.3">
      <c r="D107" s="4"/>
      <c r="H107" s="5"/>
      <c r="I107" s="5"/>
      <c r="J107" s="5"/>
      <c r="K107" s="5"/>
    </row>
    <row r="108" spans="4:11" x14ac:dyDescent="0.3">
      <c r="D108" s="4"/>
      <c r="H108" s="5"/>
      <c r="I108" s="5"/>
      <c r="J108" s="5"/>
      <c r="K108" s="5"/>
    </row>
    <row r="109" spans="4:11" x14ac:dyDescent="0.3">
      <c r="D109" s="4"/>
      <c r="H109" s="5"/>
      <c r="I109" s="5"/>
      <c r="J109" s="5"/>
      <c r="K109" s="5"/>
    </row>
    <row r="110" spans="4:11" x14ac:dyDescent="0.3">
      <c r="D110" s="4"/>
      <c r="H110" s="5"/>
      <c r="I110" s="5"/>
      <c r="J110" s="5"/>
      <c r="K110" s="5"/>
    </row>
    <row r="111" spans="4:11" x14ac:dyDescent="0.3">
      <c r="D111" s="4"/>
      <c r="H111" s="5"/>
      <c r="I111" s="5"/>
      <c r="J111" s="5"/>
      <c r="K111" s="5"/>
    </row>
    <row r="112" spans="4:11" x14ac:dyDescent="0.3">
      <c r="D112" s="4"/>
      <c r="H112" s="5"/>
      <c r="I112" s="5"/>
      <c r="J112" s="5"/>
      <c r="K112" s="5"/>
    </row>
    <row r="113" spans="4:11" x14ac:dyDescent="0.3">
      <c r="D113" s="4"/>
      <c r="H113" s="5"/>
      <c r="I113" s="5"/>
      <c r="J113" s="5"/>
      <c r="K113" s="5"/>
    </row>
    <row r="114" spans="4:11" x14ac:dyDescent="0.3">
      <c r="D114" s="4"/>
      <c r="H114" s="5"/>
      <c r="I114" s="5"/>
      <c r="J114" s="5"/>
      <c r="K114" s="5"/>
    </row>
    <row r="115" spans="4:11" x14ac:dyDescent="0.3">
      <c r="D115" s="4"/>
      <c r="H115" s="5"/>
      <c r="I115" s="5"/>
      <c r="J115" s="5"/>
      <c r="K115" s="5"/>
    </row>
    <row r="116" spans="4:11" x14ac:dyDescent="0.3">
      <c r="D116" s="4"/>
      <c r="H116" s="5"/>
      <c r="I116" s="5"/>
      <c r="J116" s="5"/>
      <c r="K116" s="5"/>
    </row>
    <row r="117" spans="4:11" x14ac:dyDescent="0.3">
      <c r="D117" s="4"/>
      <c r="H117" s="5"/>
      <c r="I117" s="5"/>
      <c r="J117" s="5"/>
      <c r="K117" s="5"/>
    </row>
    <row r="118" spans="4:11" x14ac:dyDescent="0.3">
      <c r="D118" s="4"/>
      <c r="H118" s="5"/>
      <c r="I118" s="5"/>
      <c r="J118" s="5"/>
      <c r="K118" s="5"/>
    </row>
    <row r="119" spans="4:11" x14ac:dyDescent="0.3">
      <c r="D119" s="4"/>
      <c r="H119" s="5"/>
      <c r="I119" s="5"/>
      <c r="J119" s="5"/>
      <c r="K119" s="5"/>
    </row>
    <row r="120" spans="4:11" x14ac:dyDescent="0.3">
      <c r="D120" s="4"/>
      <c r="H120" s="5"/>
      <c r="I120" s="5"/>
      <c r="J120" s="5"/>
      <c r="K120" s="5"/>
    </row>
    <row r="121" spans="4:11" x14ac:dyDescent="0.3">
      <c r="D121" s="4"/>
      <c r="H121" s="5"/>
      <c r="I121" s="5"/>
      <c r="J121" s="5"/>
      <c r="K121" s="5"/>
    </row>
    <row r="122" spans="4:11" x14ac:dyDescent="0.3">
      <c r="D122" s="4"/>
      <c r="H122" s="5"/>
      <c r="I122" s="5"/>
      <c r="J122" s="5"/>
      <c r="K122" s="5"/>
    </row>
    <row r="123" spans="4:11" x14ac:dyDescent="0.3">
      <c r="D123" s="4"/>
      <c r="H123" s="5"/>
      <c r="I123" s="5"/>
      <c r="J123" s="5"/>
      <c r="K123" s="5"/>
    </row>
    <row r="124" spans="4:11" x14ac:dyDescent="0.3">
      <c r="D124" s="4"/>
      <c r="H124" s="5"/>
      <c r="I124" s="5"/>
      <c r="J124" s="5"/>
      <c r="K124" s="5"/>
    </row>
    <row r="125" spans="4:11" x14ac:dyDescent="0.3">
      <c r="D125" s="4"/>
      <c r="H125" s="5"/>
      <c r="I125" s="5"/>
      <c r="J125" s="5"/>
      <c r="K125" s="5"/>
    </row>
    <row r="126" spans="4:11" x14ac:dyDescent="0.3">
      <c r="D126" s="4"/>
      <c r="H126" s="5"/>
      <c r="I126" s="5"/>
      <c r="J126" s="5"/>
      <c r="K126" s="5"/>
    </row>
    <row r="127" spans="4:11" x14ac:dyDescent="0.3">
      <c r="D127" s="4"/>
      <c r="H127" s="5"/>
      <c r="I127" s="5"/>
      <c r="J127" s="5"/>
      <c r="K127" s="5"/>
    </row>
    <row r="128" spans="4:11" x14ac:dyDescent="0.3">
      <c r="D128" s="4"/>
      <c r="H128" s="5"/>
      <c r="I128" s="5"/>
      <c r="J128" s="5"/>
      <c r="K128" s="5"/>
    </row>
    <row r="129" spans="4:11" x14ac:dyDescent="0.3">
      <c r="D129" s="4"/>
      <c r="H129" s="5"/>
      <c r="I129" s="5"/>
      <c r="J129" s="5"/>
      <c r="K129" s="5"/>
    </row>
    <row r="130" spans="4:11" x14ac:dyDescent="0.3">
      <c r="D130" s="4"/>
      <c r="H130" s="5"/>
      <c r="I130" s="5"/>
      <c r="J130" s="5"/>
      <c r="K130" s="5"/>
    </row>
    <row r="131" spans="4:11" x14ac:dyDescent="0.3">
      <c r="D131" s="4"/>
      <c r="H131" s="5"/>
      <c r="I131" s="5"/>
      <c r="J131" s="5"/>
      <c r="K131" s="5"/>
    </row>
    <row r="132" spans="4:11" x14ac:dyDescent="0.3">
      <c r="D132" s="4"/>
      <c r="H132" s="5"/>
      <c r="I132" s="5"/>
      <c r="J132" s="5"/>
      <c r="K132" s="5"/>
    </row>
    <row r="133" spans="4:11" x14ac:dyDescent="0.3">
      <c r="D133" s="4"/>
      <c r="H133" s="5"/>
      <c r="I133" s="5"/>
      <c r="J133" s="5"/>
      <c r="K133" s="5"/>
    </row>
    <row r="134" spans="4:11" x14ac:dyDescent="0.3">
      <c r="D134" s="4"/>
      <c r="H134" s="5"/>
      <c r="I134" s="5"/>
      <c r="J134" s="5"/>
      <c r="K134" s="5"/>
    </row>
    <row r="135" spans="4:11" x14ac:dyDescent="0.3">
      <c r="D135" s="4"/>
      <c r="H135" s="5"/>
      <c r="I135" s="5"/>
      <c r="J135" s="5"/>
      <c r="K135" s="5"/>
    </row>
    <row r="136" spans="4:11" x14ac:dyDescent="0.3">
      <c r="D136" s="4"/>
      <c r="H136" s="5"/>
      <c r="I136" s="5"/>
      <c r="J136" s="5"/>
      <c r="K136" s="5"/>
    </row>
    <row r="137" spans="4:11" x14ac:dyDescent="0.3">
      <c r="D137" s="4"/>
      <c r="H137" s="5"/>
      <c r="I137" s="5"/>
      <c r="J137" s="5"/>
      <c r="K137" s="5"/>
    </row>
    <row r="138" spans="4:11" x14ac:dyDescent="0.3">
      <c r="D138" s="4"/>
      <c r="H138" s="5"/>
      <c r="I138" s="5"/>
      <c r="J138" s="5"/>
      <c r="K138" s="5"/>
    </row>
    <row r="139" spans="4:11" x14ac:dyDescent="0.3">
      <c r="D139" s="4"/>
      <c r="H139" s="5"/>
      <c r="I139" s="5"/>
      <c r="J139" s="5"/>
      <c r="K139" s="5"/>
    </row>
    <row r="140" spans="4:11" x14ac:dyDescent="0.3">
      <c r="D140" s="4"/>
      <c r="H140" s="5"/>
      <c r="I140" s="5"/>
      <c r="J140" s="5"/>
      <c r="K140" s="5"/>
    </row>
    <row r="141" spans="4:11" x14ac:dyDescent="0.3">
      <c r="D141" s="4"/>
      <c r="H141" s="5"/>
      <c r="I141" s="5"/>
      <c r="J141" s="5"/>
      <c r="K141" s="5"/>
    </row>
    <row r="142" spans="4:11" x14ac:dyDescent="0.3">
      <c r="D142" s="4"/>
      <c r="H142" s="5"/>
      <c r="I142" s="5"/>
      <c r="J142" s="5"/>
      <c r="K142" s="5"/>
    </row>
    <row r="143" spans="4:11" x14ac:dyDescent="0.3">
      <c r="D143" s="4"/>
      <c r="H143" s="5"/>
      <c r="I143" s="5"/>
      <c r="J143" s="5"/>
      <c r="K143" s="5"/>
    </row>
    <row r="144" spans="4:11" x14ac:dyDescent="0.3">
      <c r="D144" s="4"/>
      <c r="H144" s="5"/>
      <c r="I144" s="5"/>
      <c r="J144" s="5"/>
      <c r="K144" s="5"/>
    </row>
    <row r="145" spans="4:11" x14ac:dyDescent="0.3">
      <c r="D145" s="4"/>
      <c r="H145" s="5"/>
      <c r="I145" s="5"/>
      <c r="J145" s="5"/>
      <c r="K145" s="5"/>
    </row>
    <row r="146" spans="4:11" x14ac:dyDescent="0.3">
      <c r="D146" s="4"/>
      <c r="H146" s="5"/>
      <c r="I146" s="5"/>
      <c r="J146" s="5"/>
      <c r="K146" s="5"/>
    </row>
    <row r="147" spans="4:11" x14ac:dyDescent="0.3">
      <c r="D147" s="4"/>
      <c r="H147" s="5"/>
      <c r="I147" s="5"/>
      <c r="J147" s="5"/>
      <c r="K147" s="5"/>
    </row>
    <row r="148" spans="4:11" x14ac:dyDescent="0.3">
      <c r="D148" s="4"/>
      <c r="H148" s="5"/>
      <c r="I148" s="5"/>
      <c r="J148" s="5"/>
      <c r="K148" s="5"/>
    </row>
    <row r="149" spans="4:11" x14ac:dyDescent="0.3">
      <c r="D149" s="4"/>
      <c r="H149" s="5"/>
      <c r="I149" s="5"/>
      <c r="J149" s="5"/>
      <c r="K149" s="5"/>
    </row>
    <row r="150" spans="4:11" x14ac:dyDescent="0.3">
      <c r="D150" s="4"/>
      <c r="H150" s="5"/>
      <c r="I150" s="5"/>
      <c r="J150" s="5"/>
      <c r="K150" s="5"/>
    </row>
    <row r="151" spans="4:11" x14ac:dyDescent="0.3">
      <c r="D151" s="4"/>
      <c r="H151" s="5"/>
      <c r="I151" s="5"/>
      <c r="J151" s="5"/>
      <c r="K151" s="5"/>
    </row>
    <row r="152" spans="4:11" x14ac:dyDescent="0.3">
      <c r="D152" s="4"/>
      <c r="H152" s="5"/>
      <c r="I152" s="5"/>
      <c r="J152" s="5"/>
      <c r="K152" s="5"/>
    </row>
    <row r="153" spans="4:11" x14ac:dyDescent="0.3">
      <c r="D153" s="4"/>
      <c r="H153" s="5"/>
      <c r="I153" s="5"/>
      <c r="J153" s="5"/>
      <c r="K153" s="5"/>
    </row>
    <row r="154" spans="4:11" x14ac:dyDescent="0.3">
      <c r="D154" s="4"/>
      <c r="H154" s="5"/>
      <c r="I154" s="5"/>
      <c r="J154" s="5"/>
      <c r="K154" s="5"/>
    </row>
    <row r="155" spans="4:11" x14ac:dyDescent="0.3">
      <c r="D155" s="4"/>
      <c r="H155" s="5"/>
      <c r="I155" s="5"/>
      <c r="J155" s="5"/>
      <c r="K155" s="5"/>
    </row>
    <row r="156" spans="4:11" x14ac:dyDescent="0.3">
      <c r="D156" s="4"/>
      <c r="H156" s="5"/>
      <c r="I156" s="5"/>
      <c r="J156" s="5"/>
      <c r="K156" s="5"/>
    </row>
    <row r="157" spans="4:11" x14ac:dyDescent="0.3">
      <c r="D157" s="4"/>
      <c r="H157" s="5"/>
      <c r="I157" s="5"/>
      <c r="J157" s="5"/>
      <c r="K157" s="5"/>
    </row>
    <row r="158" spans="4:11" x14ac:dyDescent="0.3">
      <c r="D158" s="4"/>
      <c r="H158" s="5"/>
      <c r="I158" s="5"/>
      <c r="J158" s="5"/>
      <c r="K158" s="5"/>
    </row>
  </sheetData>
  <mergeCells count="3">
    <mergeCell ref="D1:J2"/>
    <mergeCell ref="D4:E4"/>
    <mergeCell ref="L20:P20"/>
  </mergeCells>
  <dataValidations count="1">
    <dataValidation type="list" allowBlank="1" showInputMessage="1" showErrorMessage="1" sqref="M18" xr:uid="{BFC2E250-A877-4986-BA7C-8BF827E2D31A}">
      <formula1>"2024-1,2024-2,2025-1,2025-2,2026-1,2026-2"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rivera morales</dc:creator>
  <cp:lastModifiedBy>Yeison Rivera Morales</cp:lastModifiedBy>
  <dcterms:created xsi:type="dcterms:W3CDTF">2026-08-27T20:51:23Z</dcterms:created>
  <dcterms:modified xsi:type="dcterms:W3CDTF">2026-10-01T22:28:51Z</dcterms:modified>
</cp:coreProperties>
</file>